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 xmlns:mc="http://schemas.openxmlformats.org/markup-compatibility/2006" mc:Ignorable="x15 xr xr6 xr10 xr2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<fileVersion appName="xl" lastEdited="7" lowestEdited="7" rupBuild="30326"/><workbookPr/><mc:AlternateContent xmlns:mc="http://schemas.openxmlformats.org/markup-compatibility/2006"><mc:Choice Requires="x15"><x15ac:absPath url="E:\WR\Walter_Rosales\Proyectos\Sistema gastos operativos\stack\docs\pruebas\" xmlns:x15ac="http://schemas.microsoft.com/office/spreadsheetml/2010/11/ac"/></mc:Choice></mc:AlternateContent><xr:revisionPtr revIDLastSave="0" documentId="8_{4039ACEA-8073-4DF7-8589-4C24873EB987}" xr6:coauthVersionLast="47" xr6:coauthVersionMax="47" xr10:uidLastSave="{00000000-0000-0000-0000-000000000000}"/><bookViews><workbookView xWindow="-110" yWindow="-110" windowWidth="19420" windowHeight="11500" firstSheet="2" activeTab="4" xr2:uid="{00000000-000D-0000-FFFF-FFFF00000000}"/></bookViews><sheets><sheet name="Pruebas Req Func" sheetId="1" r:id="rId1"/><sheet name="Trazabilidad Evidencia" sheetId="2" r:id="rId2"/><sheet name="Matriz de pruebas" sheetId="3" r:id="rId3"/><sheet name="Cobertura por iteración" sheetId="4" r:id="rId4"/><sheet name="Trazabilidad de pruebas" sheetId="5" r:id="rId5"/></sheets><calcPr calcId="191029" forceFullCalc="1"/><fileRecoveryPr repairLoad="1"/><extLst><ext uri="{B58B0392-4F1F-4190-BB64-5DF3571DCE5F}" xmlns:xcalcf="http://schemas.microsoft.com/office/spreadsheetml/2018/calcfeatures"><xcalcf:calcFeatures><xcalcf:feature name="microsoft.com:RD"/><xcalcf:feature name="microsoft.com:Single"/><xcalcf:feature name="microsoft.com:FV"/><xcalcf:feature name="microsoft.com:CNMTM"/><xcalcf:feature name="microsoft.com:LET_WF"/><xcalcf:feature name="microsoft.com:LAMBDA_WF"/><xcalcf:feature name="microsoft.com:ARRAYTEXT_WF"/></xcalcf:calcFeatures></ext><ext uri="GoogleSheetsCustomDataVersion2"><ns2:sheetsCustomData r:id="rId6" roundtripDataChecksum="w6tLT6DWkDh0UqWYnQZhs9qJ5FTHdANDtW8HyjISPes="/></ext></extLst></workbook>
</file>

<file path=xl/calcChain.xml><?xml version="1.0" encoding="utf-8"?>
<calcChain xmlns="http://schemas.openxmlformats.org/spreadsheetml/2006/main">
  <c r="E8" i="4" l="1"/>
  <c r="D8" i="4"/>
  <c r="C8" i="4"/>
  <c r="B8" i="4"/>
  <c r="F8" i="4" s="1"/>
  <c r="E7" i="4"/>
  <c r="D7" i="4"/>
  <c r="C7" i="4"/>
  <c r="B7" i="4"/>
  <c r="F7" i="4" s="1"/>
  <c r="E6" i="4"/>
  <c r="D6" i="4"/>
  <c r="C6" i="4"/>
  <c r="B6" i="4"/>
  <c r="F6" i="4" s="1"/>
  <c r="E5" i="4"/>
  <c r="D5" i="4"/>
  <c r="C5" i="4"/>
  <c r="B5" i="4"/>
  <c r="F5" i="4" s="1"/>
  <c r="E4" i="4"/>
  <c r="D4" i="4"/>
  <c r="C4" i="4"/>
  <c r="B4" i="4"/>
  <c r="F4" i="4" s="1"/>
  <c r="E3" i="4"/>
  <c r="D3" i="4"/>
  <c r="C3" i="4"/>
  <c r="B3" i="4"/>
  <c r="F3" i="4" s="1"/>
  <c r="E2" i="4"/>
  <c r="D2" i="4"/>
  <c r="C2" i="4"/>
  <c r="B2" i="4"/>
  <c r="F2" i="4" s="1"/>
  <c r="H26" i="1"/>
  <c r="H25" i="1"/>
  <c r="C25" i="1"/>
  <c r="C24" i="1"/>
  <c r="C22" i="1" l="1"/>
  <c r="H22" i="1"/>
  <c r="C26" i="1"/>
</calcChain>
</file>

<file path=xl/sharedStrings.xml><?xml version="1.0" encoding="utf-8"?>
<sst xmlns="http://schemas.openxmlformats.org/spreadsheetml/2006/main" count="911" uniqueCount="443">
  <si>
    <t>Resultados de Pruebas de Requerimientos Funcionales</t>
  </si>
  <si>
    <t>Proyecto:</t>
  </si>
  <si>
    <t>Analista Encargado del proyecto:</t>
  </si>
  <si>
    <t>Pruebas realizadas por:</t>
  </si>
  <si>
    <t>Fecha de Inicio de Pruebas:</t>
  </si>
  <si>
    <t>No. Requerimiento</t>
  </si>
  <si>
    <t>Pruebas a Realizar</t>
  </si>
  <si>
    <t>Criterio de Aceptación</t>
  </si>
  <si>
    <t>Tiempo Estimado</t>
  </si>
  <si>
    <t>Fecha de prueba</t>
  </si>
  <si>
    <t>Prueba realizada</t>
  </si>
  <si>
    <t>Resultado Obtenido</t>
  </si>
  <si>
    <t>Observaciones</t>
  </si>
  <si>
    <t>Prueba Exitosa</t>
  </si>
  <si>
    <t>Comentarios Adicionales</t>
  </si>
  <si>
    <t>% Pruebas Realizadas</t>
  </si>
  <si>
    <t>% Pruebas Exitosas</t>
  </si>
  <si>
    <t>No. de Pruebas</t>
  </si>
  <si>
    <t>Pruebas Realizadas:</t>
  </si>
  <si>
    <t>Pruebas Exitosas:</t>
  </si>
  <si>
    <t>Pruebas por Realizadas:</t>
  </si>
  <si>
    <t>Pruebas No Exitosas:</t>
  </si>
  <si>
    <t>REQ-PRES-001</t>
  </si>
  <si>
    <t>Presupuesto mensual suficiente</t>
  </si>
  <si>
    <t>Solicitud por 10,000 con disponibilidad de 20,000; debe validar y reservar el importe solicitado.</t>
  </si>
  <si>
    <t>Reserva válida por 10,000 y disponibilidad no negativa.</t>
  </si>
  <si>
    <t>No registrada</t>
  </si>
  <si>
    <t>Sí</t>
  </si>
  <si>
    <t>EXITOSA</t>
  </si>
  <si>
    <t>Prueba automatizada/integración de presupuesto. Evidencia técnica de validación y reserva.</t>
  </si>
  <si>
    <t/>
  </si>
  <si>
    <t>Presupuesto insuficiente</t>
  </si>
  <si>
    <t>Solicitud por 10,000 con presupuesto mensual de 5,000.</t>
  </si>
  <si>
    <t>La solicitud debe bloquearse o rechazarse sin reserva inválida.</t>
  </si>
  <si>
    <t>Prueba automatizada de regla presupuestaria negativa; no corresponde a prueba manual.</t>
  </si>
  <si>
    <t>Solicitud, reserva y aprobación</t>
  </si>
  <si>
    <t>Ejecutar solicitud, validación presupuestaria, reserva y aprobación mediante servicios reales.</t>
  </si>
  <si>
    <t>Solicitud APROBADA y reserva EXECUTED, sin alterar estados por SQL.</t>
  </si>
  <si>
    <t>Evidencia de integración/E2E contra PostgreSQL.</t>
  </si>
  <si>
    <t>REQ-PAGO-004</t>
  </si>
  <si>
    <t>Pago de solicitud aprobada</t>
  </si>
  <si>
    <t>Registrar pago autorizado de 10,000 para una solicitud APROBADA.</t>
  </si>
  <si>
    <t>Pago persistido con estado PAGADO, importe y moneda correctos. Pago documentado en E2E con paymentId 4ffb87de-f5f3-4a0d-af3a-26b203027841.</t>
  </si>
  <si>
    <t>Prueba de integración/E2E; evidencia PostgreSQL y MinIO según el flujo documentado.</t>
  </si>
  <si>
    <t>Documento OCR elegible</t>
  </si>
  <si>
    <t>Asociar documento OCR confirmado y elegible a la liquidación con autorización OCR_VIEW_COMPANY.</t>
  </si>
  <si>
    <t>Documento persistido, de la empresa correcta y usedInSettlement=true. DocumentId: dd0ae3bc-dcad-4517-9241-50e748da23d2.</t>
  </si>
  <si>
    <t>E2E PostgreSQL con autorización real y asociación documental.</t>
  </si>
  <si>
    <t>Liquidación sin reintegro hasta certificación</t>
  </si>
  <si>
    <t>Conciliar pago 10,000, documentos 10,000 y reintegro 0; aprobar, cerrar y certificar.</t>
  </si>
  <si>
    <t>Diferencia 0, balance CUADRADA, estado CERRADA y certificación CERTIFICADA. Request 9c24940d-4e4b-4bcf-b1ca-c892af67f4c1; liquidación 44fcaabc-f45b-4705-b569-03334b4500af; código LIQ-2026-00008.</t>
  </si>
  <si>
    <t>E2E real contra PostgreSQL; reservationId 314ee3f3-ac82-4f65-9ba7-fda785cfd685 y paymentId documentado.</t>
  </si>
  <si>
    <t>REQ-REF-007</t>
  </si>
  <si>
    <t>Liquidación con reintegro</t>
  </si>
  <si>
    <t>Conciliar pago 10,000, documentos 8,500 y registrar reintegro validado de 1,500.</t>
  </si>
  <si>
    <t>Diferencia 0, balance CUADRADA, liquidación CERRADA y CERTIFICADA.</t>
  </si>
  <si>
    <t>E2E con reintegro documentado en la evidencia de Iteración 05.8; identificadores no disponibles en el archivo fuente.</t>
  </si>
  <si>
    <t>Numeración concurrente de liquidaciones</t>
  </si>
  <si>
    <t>Crear cinco liquidaciones concurrentes para el mismo ejercicio fiscal.</t>
  </si>
  <si>
    <t>Cinco códigos únicos, sin duplicados y con integridad transaccional.</t>
  </si>
  <si>
    <t>Primera ejecución: NO EXITOSA por P2034 bajo Serializable. Corrección: reintentos acotados para P2034 conservando Serializable, advisory lock y UNIQUE. Reprueba EXITOSA: LIQ-2026-00287 a LIQ-2026-00291. Evidencia de concurrencia PostgreSQL.</t>
  </si>
  <si>
    <t>Controles concurrentes e inmutabilidad</t>
  </si>
  <si>
    <t>Ejecutar carreras reales de liquidación, reintegro, cierre, certificación y asociación documental.</t>
  </si>
  <si>
    <t>Una operación efectiva por recurso, sin duplicados y con trazabilidad consistente.</t>
  </si>
  <si>
    <t>Evidencia de concurrencia PostgreSQL previamente obtenida; clasificada como evidencia técnica, no como prueba funcional manual.</t>
  </si>
  <si>
    <t>Los resultados se basan únicamente en evidencia disponible. Se distinguen pruebas funcionales, pruebas automatizadas, integración/E2E, evidencia PostgreSQL y concurrencia. Las fechas y tiempos no registrados se mantienen vacíos o como No registrada. El caso P2034 conserva su resultado inicial, corrección y reprueba.</t>
  </si>
  <si>
    <t>Caso de prueba</t>
  </si>
  <si>
    <t>Tipo de evidencia</t>
  </si>
  <si>
    <t>Iteración</t>
  </si>
  <si>
    <t>Resultado</t>
  </si>
  <si>
    <t>Evidencia disponible</t>
  </si>
  <si>
    <t>Defecto encontrado</t>
  </si>
  <si>
    <t>Corrección aplicada</t>
  </si>
  <si>
    <t>Reprueba</t>
  </si>
  <si>
    <t>Resultado final</t>
  </si>
  <si>
    <t>PRUEBA AUTOMATIZADA; EVIDENCIA DE BASE DE DATOS</t>
  </si>
  <si>
    <t>06</t>
  </si>
  <si>
    <t>Validación y reserva presupuestaria documentadas</t>
  </si>
  <si>
    <t>No aplica</t>
  </si>
  <si>
    <t>No se registró como prueba manual.</t>
  </si>
  <si>
    <t>REQ-PRES-002</t>
  </si>
  <si>
    <t>PRUEBA AUTOMATIZADA</t>
  </si>
  <si>
    <t>Regla negativa de presupuesto</t>
  </si>
  <si>
    <t>Sin reserva inválida.</t>
  </si>
  <si>
    <t>REQ-FLUJO-003</t>
  </si>
  <si>
    <t>PRUEBA DE INTEGRACIÓN/E2E; EVIDENCIA DE BASE DE DATOS</t>
  </si>
  <si>
    <t>05.7</t>
  </si>
  <si>
    <t>Request 9c24940d-4e4b-4bcf-b1ca-c892af67f4c1; reservation 314ee3f3-ac82-4f65-9ba7-fda785cfd685</t>
  </si>
  <si>
    <t>Servicios reales y PostgreSQL.</t>
  </si>
  <si>
    <t>Payment 4ffb87de-f5f3-4a0d-af3a-26b203027841, estado PAGADO</t>
  </si>
  <si>
    <t>Evidencia documental existente.</t>
  </si>
  <si>
    <t>REQ-OCR-005</t>
  </si>
  <si>
    <t>Document dd0ae3bc-dcad-4517-9241-50e748da23d2; usedInSettlement=true</t>
  </si>
  <si>
    <t>OCR_VIEW_COMPANY persistido.</t>
  </si>
  <si>
    <t>REQ-LIQ-006</t>
  </si>
  <si>
    <t>Settlement 44fcaabc-f45b-4705-b569-03334b4500af; LIQ-2026-00008</t>
  </si>
  <si>
    <t>Balance CUADRADA; CERRADA; CERTIFICADA.</t>
  </si>
  <si>
    <t>05.8</t>
  </si>
  <si>
    <t>Pago 10,000; documentos 8,500; reintegro 1,500; diferencia 0</t>
  </si>
  <si>
    <t>IDs no disponibles en documentación consultada.</t>
  </si>
  <si>
    <t>REQ-CON-008</t>
  </si>
  <si>
    <t>EVIDENCIA DE CONCURRENCIA; EVIDENCIA DE BASE DE DATOS</t>
  </si>
  <si>
    <t>05.15</t>
  </si>
  <si>
    <t>LIQ-2026-00287, -00288, -00289, -00290, -00291</t>
  </si>
  <si>
    <t>P2034 bajo Serializable</t>
  </si>
  <si>
    <t>Reintentos acotados para P2034, conservando locks y UNIQUE</t>
  </si>
  <si>
    <t>Primera ejecución NO EXITOSA; reprueba PASS.</t>
  </si>
  <si>
    <t>REQ-SEC-009</t>
  </si>
  <si>
    <t>05.9–05.15</t>
  </si>
  <si>
    <t>Ejecuciones reales de liquidación, reintegro, cierre, certificación y documento</t>
  </si>
  <si>
    <t>Evidencia técnica, no prueba funcional manual.</t>
  </si>
  <si>
    <t>ID</t>
  </si>
  <si>
    <t>Módulo</t>
  </si>
  <si>
    <t>Objetivo</t>
  </si>
  <si>
    <t>Precondiciones</t>
  </si>
  <si>
    <t>Datos de prueba</t>
  </si>
  <si>
    <t>Pasos</t>
  </si>
  <si>
    <t>Resultado esperado</t>
  </si>
  <si>
    <t>Resultado obtenido</t>
  </si>
  <si>
    <t>Estado</t>
  </si>
  <si>
    <t>Evidencia</t>
  </si>
  <si>
    <t>Objetivo específico relacionado</t>
  </si>
  <si>
    <t>P-01-01</t>
  </si>
  <si>
    <t>01</t>
  </si>
  <si>
    <t>Usuarios y seguridad</t>
  </si>
  <si>
    <t>Autenticación con credenciales válidas</t>
  </si>
  <si>
    <t>Comprobar inicio de sesión seguro</t>
  </si>
  <si>
    <t>Usuario activo con credenciales válidas</t>
  </si>
  <si>
    <t>Correo y contraseña de prueba</t>
  </si>
  <si>
    <t>Enviar credenciales y validar JWT</t>
  </si>
  <si>
    <t>JWT emitido con identidad, rol y permisos</t>
  </si>
  <si>
    <t>Validado según documentación y pruebas de seguridad</t>
  </si>
  <si>
    <t>APROBADO</t>
  </si>
  <si>
    <t>ITERACION_1_USUARIOS_SEGURIDAD.md; pruebas automatizadas</t>
  </si>
  <si>
    <t>Objetivo específico 1</t>
  </si>
  <si>
    <t>P-01-02</t>
  </si>
  <si>
    <t>Cuenta bloqueada o inactiva</t>
  </si>
  <si>
    <t>Impedir acceso no autorizado</t>
  </si>
  <si>
    <t>Cuenta bloqueada/inactiva</t>
  </si>
  <si>
    <t>Usuario existente</t>
  </si>
  <si>
    <t>Intentar iniciar sesión</t>
  </si>
  <si>
    <t>Respuesta 401 y sin JWT</t>
  </si>
  <si>
    <t>Validado en estrategia JWT y pruebas documentadas</t>
  </si>
  <si>
    <t>ITERACION_1_USUARIOS_SEGURIDAD.md</t>
  </si>
  <si>
    <t>P-01-03</t>
  </si>
  <si>
    <t>Recuperación de contraseña de un solo uso</t>
  </si>
  <si>
    <t>Proteger recuperación de credenciales</t>
  </si>
  <si>
    <t>Token no utilizado y vigente</t>
  </si>
  <si>
    <t>Token de recuperación</t>
  </si>
  <si>
    <t>Solicitar y consumir token</t>
  </si>
  <si>
    <t>Token hasheado, expiración y uso único</t>
  </si>
  <si>
    <t>Validado mediante password-security.test.js</t>
  </si>
  <si>
    <t>P-01-04</t>
  </si>
  <si>
    <t>Control RBAC</t>
  </si>
  <si>
    <t>Rechazar operación sin permiso</t>
  </si>
  <si>
    <t>JWT sin SECURITY_*</t>
  </si>
  <si>
    <t>Usuario sin permiso</t>
  </si>
  <si>
    <t>Invocar ruta protegida</t>
  </si>
  <si>
    <t>403 controlado</t>
  </si>
  <si>
    <t>Validado en pruebas de seguridad</t>
  </si>
  <si>
    <t>SECURITY_01_1_REPORT.md</t>
  </si>
  <si>
    <t>P-01-05</t>
  </si>
  <si>
    <t>Aislamiento por empresa</t>
  </si>
  <si>
    <t>Evitar acceso cruzado</t>
  </si>
  <si>
    <t>Datos de dos empresas</t>
  </si>
  <si>
    <t>Usuario de empresa A</t>
  </si>
  <si>
    <t>Consultar recurso de empresa B</t>
  </si>
  <si>
    <t>Acceso rechazado sin exponer datos</t>
  </si>
  <si>
    <t>P-02-01</t>
  </si>
  <si>
    <t>02</t>
  </si>
  <si>
    <t>Solicitudes de gasto</t>
  </si>
  <si>
    <t>Crear solicitud en borrador</t>
  </si>
  <si>
    <t>Registrar solicitud con catálogos válidos</t>
  </si>
  <si>
    <t>Partida, período y moneda activos</t>
  </si>
  <si>
    <t>Monto y conceptos válidos</t>
  </si>
  <si>
    <t>Guardar solicitud</t>
  </si>
  <si>
    <t>Solicitud BORRADOR persistida</t>
  </si>
  <si>
    <t>Validado en documentación de solicitudes</t>
  </si>
  <si>
    <t>ITERACION_2_SOLICITUDES_GASTO.md</t>
  </si>
  <si>
    <t>Objetivo específico 2</t>
  </si>
  <si>
    <t>P-02-02</t>
  </si>
  <si>
    <t>Editar solicitud en borrador</t>
  </si>
  <si>
    <t>Permitir corrección antes del envío</t>
  </si>
  <si>
    <t>Solicitud BORRADOR propia</t>
  </si>
  <si>
    <t>Cambio de concepto/monto</t>
  </si>
  <si>
    <t>Actualizar solicitud</t>
  </si>
  <si>
    <t>Cambios persistidos en estado permitido</t>
  </si>
  <si>
    <t>P-02-03</t>
  </si>
  <si>
    <t>Enviar solicitud</t>
  </si>
  <si>
    <t>Iniciar workflow controlado</t>
  </si>
  <si>
    <t>Solicitud BORRADOR completa</t>
  </si>
  <si>
    <t>Solicitud con partidas</t>
  </si>
  <si>
    <t>Ejecutar envío</t>
  </si>
  <si>
    <t>Transición a ENVIADA/flujo correspondiente</t>
  </si>
  <si>
    <t>P-02-04</t>
  </si>
  <si>
    <t>Rechazar catálogo inválido</t>
  </si>
  <si>
    <t>Validar empresa, moneda y partida</t>
  </si>
  <si>
    <t>Catálogo inexistente o inactivo</t>
  </si>
  <si>
    <t>UUID no válido</t>
  </si>
  <si>
    <t>Crear solicitud</t>
  </si>
  <si>
    <t>400 controlado sin registro inválido</t>
  </si>
  <si>
    <t>Validado en DTO/servicio y pruebas</t>
  </si>
  <si>
    <t>P-02-05</t>
  </si>
  <si>
    <t>Propiedad de solicitud</t>
  </si>
  <si>
    <t>Proteger modificación ajena</t>
  </si>
  <si>
    <t>Solicitud de otro usuario/empresa</t>
  </si>
  <si>
    <t>ID de solicitud</t>
  </si>
  <si>
    <t>Modificar o consultar</t>
  </si>
  <si>
    <t>403/404 sin exposición</t>
  </si>
  <si>
    <t>Validado en servicio y seguridad</t>
  </si>
  <si>
    <t>P-03-01</t>
  </si>
  <si>
    <t>03</t>
  </si>
  <si>
    <t>OCR y documentos</t>
  </si>
  <si>
    <t>Carga de documento</t>
  </si>
  <si>
    <t>Persistir evidencia documental</t>
  </si>
  <si>
    <t>Archivo permitido</t>
  </si>
  <si>
    <t>PDF/imagen de prueba</t>
  </si>
  <si>
    <t>Cargar archivo</t>
  </si>
  <si>
    <t>Document y objeto de almacenamiento persistidos</t>
  </si>
  <si>
    <t>Validado en documentación OCR/MinIO</t>
  </si>
  <si>
    <t>ITERACION_3_OCR_DOCUMENTOS.md</t>
  </si>
  <si>
    <t>Objetivo específico 4</t>
  </si>
  <si>
    <t>P-03-02</t>
  </si>
  <si>
    <t>Procesamiento OCR</t>
  </si>
  <si>
    <t>Extraer campos y confianza</t>
  </si>
  <si>
    <t>Documento CARGADO</t>
  </si>
  <si>
    <t>Archivo de prueba</t>
  </si>
  <si>
    <t>Solicitar procesamiento</t>
  </si>
  <si>
    <t>OCRResult y campos persistidos</t>
  </si>
  <si>
    <t>Validado en documentación OCR</t>
  </si>
  <si>
    <t>OCR_SPRINT_5_1_REPORT.md</t>
  </si>
  <si>
    <t>P-03-03</t>
  </si>
  <si>
    <t>Confirmación y elegibilidad</t>
  </si>
  <si>
    <t>Determinar comprobante elegible</t>
  </si>
  <si>
    <t>OCR revisado</t>
  </si>
  <si>
    <t>Campos fiscales válidos</t>
  </si>
  <si>
    <t>Confirmar documento</t>
  </si>
  <si>
    <t>Elegibilidad calculada y trazabilidad</t>
  </si>
  <si>
    <t>P-03-04</t>
  </si>
  <si>
    <t>NIT no identificado</t>
  </si>
  <si>
    <t>Conservar documento no identificado</t>
  </si>
  <si>
    <t>OCR sin NIT receptor</t>
  </si>
  <si>
    <t>Archivo sin NIT</t>
  </si>
  <si>
    <t>Confirmar revisión</t>
  </si>
  <si>
    <t>Documento conservado con estado equivalente</t>
  </si>
  <si>
    <t>Documentado como flujo alternativo; sin evidencia E2E independiente</t>
  </si>
  <si>
    <t>PENDIENTE</t>
  </si>
  <si>
    <t>P-03-05</t>
  </si>
  <si>
    <t>Documento reutilizado</t>
  </si>
  <si>
    <t>Impedir doble uso en liquidación</t>
  </si>
  <si>
    <t>Documento elegible ya utilizado</t>
  </si>
  <si>
    <t>documentId existente</t>
  </si>
  <si>
    <t>Intentar segunda asociación</t>
  </si>
  <si>
    <t>Operación rechazada</t>
  </si>
  <si>
    <t>Validado en liquidaciones y concurrencia</t>
  </si>
  <si>
    <t>ITERACION_3_OCR_DOCUMENTOS.md; evidencia Iteración 05</t>
  </si>
  <si>
    <t>P-04-01</t>
  </si>
  <si>
    <t>04</t>
  </si>
  <si>
    <t>Workflow y aprobaciones</t>
  </si>
  <si>
    <t>Aprobación de solicitud</t>
  </si>
  <si>
    <t>Ejecutar decisión autorizada</t>
  </si>
  <si>
    <t>Solicitud en revisión y aprobador autorizado</t>
  </si>
  <si>
    <t>Decisión aprobar</t>
  </si>
  <si>
    <t>Aprobar solicitud</t>
  </si>
  <si>
    <t>Estado APROBADA y trazabilidad</t>
  </si>
  <si>
    <t>Validado en workflow y E2E</t>
  </si>
  <si>
    <t>ITERACION_4_APROBACIONES.md; E2E PostgreSQL</t>
  </si>
  <si>
    <t>P-04-02</t>
  </si>
  <si>
    <t>Rechazo de solicitud</t>
  </si>
  <si>
    <t>Registrar decisión negativa</t>
  </si>
  <si>
    <t>Solicitud en revisión</t>
  </si>
  <si>
    <t>Motivo de rechazo</t>
  </si>
  <si>
    <t>Rechazar</t>
  </si>
  <si>
    <t>Estado RECHAZADA y motivo persistido</t>
  </si>
  <si>
    <t>Validado en documentación del workflow</t>
  </si>
  <si>
    <t>ITERACION_4_APROBACIONES.md</t>
  </si>
  <si>
    <t>P-04-03</t>
  </si>
  <si>
    <t>Observación y corrección</t>
  </si>
  <si>
    <t>Controlar solicitud observada</t>
  </si>
  <si>
    <t>Observación</t>
  </si>
  <si>
    <t>Observar y corregir</t>
  </si>
  <si>
    <t>Estado equivalente y comentario trazable</t>
  </si>
  <si>
    <t>Documentado; evidencia automatizada específica no localizada</t>
  </si>
  <si>
    <t>P-04-04</t>
  </si>
  <si>
    <t>Restricción por estado</t>
  </si>
  <si>
    <t>Impedir decisión inválida</t>
  </si>
  <si>
    <t>Solicitud ya decidida</t>
  </si>
  <si>
    <t>Nueva decisión</t>
  </si>
  <si>
    <t>Repetir aprobación/rechazo</t>
  </si>
  <si>
    <t>Validado por pruebas de workflow</t>
  </si>
  <si>
    <t>P-04-05</t>
  </si>
  <si>
    <t>Segregación de funciones</t>
  </si>
  <si>
    <t>Impedir autoaprobación</t>
  </si>
  <si>
    <t>Solicitante distinto de aprobador</t>
  </si>
  <si>
    <t>Mismo actor</t>
  </si>
  <si>
    <t>Intentar aprobar propia solicitud</t>
  </si>
  <si>
    <t>Validado en reglas de aprobación</t>
  </si>
  <si>
    <t>P-05-01</t>
  </si>
  <si>
    <t>05</t>
  </si>
  <si>
    <t>Presupuesto</t>
  </si>
  <si>
    <t>Reservar disponibilidad válida</t>
  </si>
  <si>
    <t>Presupuesto 20,000; solicitud 10,000</t>
  </si>
  <si>
    <t>Monto 10,000</t>
  </si>
  <si>
    <t>Validar y reservar</t>
  </si>
  <si>
    <t>Reserva 10,000; disponibilidad no negativa</t>
  </si>
  <si>
    <t>Validado mediante pruebas presupuestarias</t>
  </si>
  <si>
    <t>Iteraciones presupuestarias documentadas</t>
  </si>
  <si>
    <t>P-05-02</t>
  </si>
  <si>
    <t>Presupuesto mensual insuficiente</t>
  </si>
  <si>
    <t>Bloquear exceso mensual</t>
  </si>
  <si>
    <t>Presupuesto 5,000; solicitud 10,000</t>
  </si>
  <si>
    <t>Evaluar solicitud</t>
  </si>
  <si>
    <t>Rechazo/bloqueo sin reserva inválida</t>
  </si>
  <si>
    <t>P-05-03</t>
  </si>
  <si>
    <t>Pagos</t>
  </si>
  <si>
    <t>Registrar desembolso PAGADO</t>
  </si>
  <si>
    <t>Solicitud APROBADA</t>
  </si>
  <si>
    <t>Monto 10,000; moneda válida</t>
  </si>
  <si>
    <t>Registrar pago con evidencia</t>
  </si>
  <si>
    <t>Pago PAGADO ligado a solicitud</t>
  </si>
  <si>
    <t>Validado en E2E PostgreSQL</t>
  </si>
  <si>
    <t>E2E y pruebas de pagos</t>
  </si>
  <si>
    <t>Objetivo específico 3</t>
  </si>
  <si>
    <t>P-05-04</t>
  </si>
  <si>
    <t>Liquidaciones</t>
  </si>
  <si>
    <t>E2E sin reintegro</t>
  </si>
  <si>
    <t>Conciliar y certificar expediente</t>
  </si>
  <si>
    <t>Pago/documentos 10,000</t>
  </si>
  <si>
    <t>Request 9c24940d-4e4b-4bcf-b1ca-c892af67f4c1</t>
  </si>
  <si>
    <t>Liquidar, aprobar, cerrar y certificar</t>
  </si>
  <si>
    <t>Diferencia 0; CERRADA; CERTIFICADA</t>
  </si>
  <si>
    <t>Validado contra PostgreSQL</t>
  </si>
  <si>
    <t>Objetivo específico 5</t>
  </si>
  <si>
    <t>P-05-05</t>
  </si>
  <si>
    <t>Concurrencia</t>
  </si>
  <si>
    <t>Numeración concurrente y P2034</t>
  </si>
  <si>
    <t>Mantener códigos únicos bajo carrera</t>
  </si>
  <si>
    <t>Cinco liquidaciones simultáneas</t>
  </si>
  <si>
    <t>Cinco solicitudes/pagos</t>
  </si>
  <si>
    <t>Crear liquidaciones concurrentes</t>
  </si>
  <si>
    <t>Cinco códigos únicos; reprueba posterior a P2034</t>
  </si>
  <si>
    <t>Primera ejecución P2034; corrección y reprueba exitosa</t>
  </si>
  <si>
    <t>LIQ-2026-00287..00291; evidencia PostgreSQL</t>
  </si>
  <si>
    <t>P-06-01</t>
  </si>
  <si>
    <t>Validación integral</t>
  </si>
  <si>
    <t>E2E con reintegro</t>
  </si>
  <si>
    <t>Cuadrar saldo devuelto</t>
  </si>
  <si>
    <t>Pago 10,000; documentos 8,500</t>
  </si>
  <si>
    <t>Reintegro 1,500</t>
  </si>
  <si>
    <t>Registrar y validar reintegro</t>
  </si>
  <si>
    <t>Validado en E2E real</t>
  </si>
  <si>
    <t>Evidencia Iteración 05.8</t>
  </si>
  <si>
    <t>P-06-02</t>
  </si>
  <si>
    <t>Diferencia pendiente</t>
  </si>
  <si>
    <t>Impedir cierre inconsistente</t>
  </si>
  <si>
    <t>Sin reintegro</t>
  </si>
  <si>
    <t>Intentar cierre</t>
  </si>
  <si>
    <t>PENDIENTE_DEVOLUCION; cierre rechazado</t>
  </si>
  <si>
    <t>Validado en prueba negativa</t>
  </si>
  <si>
    <t>P-06-03</t>
  </si>
  <si>
    <t>Reintegro concurrente</t>
  </si>
  <si>
    <t>Evitar doble reintegro</t>
  </si>
  <si>
    <t>Saldo pendiente 1,500</t>
  </si>
  <si>
    <t>Dos operaciones simultáneas</t>
  </si>
  <si>
    <t>Registrar reintegro</t>
  </si>
  <si>
    <t>Un reintegro efectivo; total 1,500</t>
  </si>
  <si>
    <t>Evidencia Iteración 05.12</t>
  </si>
  <si>
    <t>P-06-04</t>
  </si>
  <si>
    <t>Cierre y certificación concurrentes</t>
  </si>
  <si>
    <t>Evitar efectos duplicados</t>
  </si>
  <si>
    <t>Liquidación válida</t>
  </si>
  <si>
    <t>Dos actores/conexiones</t>
  </si>
  <si>
    <t>Cerrar/certificar simultáneamente</t>
  </si>
  <si>
    <t>Una transición efectiva por operación</t>
  </si>
  <si>
    <t>Evidencia Iteraciones 05.13–05.14</t>
  </si>
  <si>
    <t>P-06-05</t>
  </si>
  <si>
    <t>Registro funcional de pruebas</t>
  </si>
  <si>
    <t>Indicadores del registro</t>
  </si>
  <si>
    <t>Calcular resumen auditable</t>
  </si>
  <si>
    <t>Tres casos: 2 ejecutados, 1 pendiente</t>
  </si>
  <si>
    <t>EXITOSA, NO_EXITOSA, pendiente</t>
  </si>
  <si>
    <t>Consultar resumen</t>
  </si>
  <si>
    <t>3 total; 2 realizadas; 1 pendiente; 66.67%; 50%</t>
  </si>
  <si>
    <t>Validado 1/1 en PostgreSQL</t>
  </si>
  <si>
    <t>ITERACION_06_1_RESULTADOS.md</t>
  </si>
  <si>
    <t>P-07-01</t>
  </si>
  <si>
    <t>07</t>
  </si>
  <si>
    <t>Reportes y trazabilidad</t>
  </si>
  <si>
    <t>Reporte presupuestario</t>
  </si>
  <si>
    <t>Consultar ejecución presupuestaria</t>
  </si>
  <si>
    <t>Datos presupuestarios persistidos</t>
  </si>
  <si>
    <t>Filtros de reporte</t>
  </si>
  <si>
    <t>Abrir reporte</t>
  </si>
  <si>
    <t>Filas y totales calculados desde PostgreSQL</t>
  </si>
  <si>
    <t>Implementado y compilado; prueba dedicada de servicio pendiente</t>
  </si>
  <si>
    <t>ITERACION_7_REPORTES_TRAZABILIDAD.md</t>
  </si>
  <si>
    <t>P-07-02</t>
  </si>
  <si>
    <t>Reporte de solicitudes</t>
  </si>
  <si>
    <t>Consultar solicitudes filtradas</t>
  </si>
  <si>
    <t>Solicitudes persistidas</t>
  </si>
  <si>
    <t>Filtros de empresa/estado</t>
  </si>
  <si>
    <t>Resultados acotados al alcance autorizado</t>
  </si>
  <si>
    <t>Implementado y validado indirectamente por seguridad</t>
  </si>
  <si>
    <t>ITERACION_7_REPORTES_TRAZABILIDAD.md; security-hardening</t>
  </si>
  <si>
    <t>P-07-03</t>
  </si>
  <si>
    <t>Exportación XLSX/PDF</t>
  </si>
  <si>
    <t>Generar representación exportable</t>
  </si>
  <si>
    <t>Reporte autorizado</t>
  </si>
  <si>
    <t>Formato excel/pdf</t>
  </si>
  <si>
    <t>Solicitar exportación</t>
  </si>
  <si>
    <t>Archivo generado; otros formatos rechazados</t>
  </si>
  <si>
    <t>Validado en controller y build</t>
  </si>
  <si>
    <t>P-07-04</t>
  </si>
  <si>
    <t>Bitácora de eventos</t>
  </si>
  <si>
    <t>Consultar trazabilidad</t>
  </si>
  <si>
    <t>Solicitud con trazas</t>
  </si>
  <si>
    <t>requestId autorizado</t>
  </si>
  <si>
    <t>Consultar eventos</t>
  </si>
  <si>
    <t>Eventos ordenados sin acceso cruzado</t>
  </si>
  <si>
    <t>Implementado; evidencia de integración específica pendiente</t>
  </si>
  <si>
    <t>P-07-05</t>
  </si>
  <si>
    <t>Seguridad de reportes</t>
  </si>
  <si>
    <t>Rechazar empresa ajena</t>
  </si>
  <si>
    <t>Usuario con companyId A</t>
  </si>
  <si>
    <t>Filtro/companyId B</t>
  </si>
  <si>
    <t>Consultar o exportar</t>
  </si>
  <si>
    <t>Rechazo antes de consulta</t>
  </si>
  <si>
    <t>Validado 23/23 en security-hardening.test.js</t>
  </si>
  <si>
    <t>backend/test/security-hardening.test.js</t>
  </si>
  <si>
    <t>Total de pruebas</t>
  </si>
  <si>
    <t>Aprobadas</t>
  </si>
  <si>
    <t>Fallidas</t>
  </si>
  <si>
    <t>Pendientes</t>
  </si>
  <si>
    <t>Cumple mínimo de 5</t>
  </si>
  <si>
    <t>Iteración 01</t>
  </si>
  <si>
    <t>Iteración 02</t>
  </si>
  <si>
    <t>Iteración 03</t>
  </si>
  <si>
    <t>Iteración 04</t>
  </si>
  <si>
    <t>Iteración 05</t>
  </si>
  <si>
    <t>Iteración 06</t>
  </si>
  <si>
    <t>Iteración 07</t>
  </si>
  <si>
    <t>Objetivo específico</t>
  </si>
  <si>
    <t>Funcionalidad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</si>
</sst>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0"/>
      <color theme="0"/>
      <name val="Arial"/>
    </font>
    <font>
      <sz val="10"/>
      <color theme="1"/>
      <name val="Arial"/>
    </font>
    <font>
      <sz val="10"/>
      <color theme="0"/>
      <name val="Arial"/>
    </font>
    <font>
      <sz val="10"/>
      <color theme="1"/>
      <name val="Arial"/>
      <scheme val="minor"/>
    </font>
    <font>
      <b/>
      <sz val="10"/>
      <name val="Arial"/>
      <family val="2"/>
    </font>
    <font>
      <sz val="10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4" xfId="0" applyFont="1" applyBorder="1"/>
    <xf numFmtId="0" fontId="4" fillId="0" borderId="5" xfId="0" applyFont="1" applyBorder="1"/>
    <xf numFmtId="0" fontId="4" fillId="0" borderId="0" xfId="0" applyFont="1"/>
    <xf numFmtId="0" fontId="4" fillId="0" borderId="8" xfId="0" applyFont="1" applyBorder="1"/>
    <xf numFmtId="0" fontId="4" fillId="0" borderId="1" xfId="0" applyFont="1" applyBorder="1"/>
    <xf numFmtId="0" fontId="4" fillId="0" borderId="13" xfId="0" applyFont="1" applyBorder="1"/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2" borderId="20" xfId="0" applyFont="1" applyFill="1" applyBorder="1"/>
    <xf numFmtId="0" fontId="5" fillId="2" borderId="21" xfId="0" applyFont="1" applyFill="1" applyBorder="1"/>
    <xf numFmtId="0" fontId="5" fillId="0" borderId="0" xfId="0" applyFont="1"/>
    <xf numFmtId="0" fontId="6" fillId="0" borderId="0" xfId="0" applyFont="1"/>
    <xf numFmtId="0" fontId="4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0" fillId="0" borderId="0" xfId="0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3" fillId="2" borderId="6" xfId="0" applyFont="1" applyFill="1" applyBorder="1" applyAlignment="1">
      <alignment horizontal="left"/>
    </xf>
    <xf numFmtId="0" fontId="2" fillId="0" borderId="7" xfId="0" applyFont="1" applyBorder="1"/>
    <xf numFmtId="0" fontId="3" fillId="2" borderId="9" xfId="0" applyFont="1" applyFill="1" applyBorder="1" applyAlignment="1">
      <alignment horizontal="left"/>
    </xf>
    <xf numFmtId="0" fontId="2" fillId="0" borderId="10" xfId="0" applyFont="1" applyBorder="1"/>
    <xf numFmtId="0" fontId="3" fillId="2" borderId="11" xfId="0" applyFont="1" applyFill="1" applyBorder="1" applyAlignment="1">
      <alignment horizontal="left"/>
    </xf>
    <xf numFmtId="0" fontId="2" fillId="0" borderId="12" xfId="0" applyFont="1" applyBorder="1"/>
    <xf numFmtId="0" fontId="7" fillId="0" borderId="14" xfId="0" applyFont="1" applyFill="1" applyBorder="1" applyAlignment="1">
      <alignment horizontal="center" wrapText="1"/>
    </xf>
    <xf numFmtId="0" fontId="8" fillId="0" borderId="0" xfId="0" applyFont="1" applyFill="1"/>
    <xf numFmtId="0" fontId="7" fillId="0" borderId="15" xfId="0" applyFont="1" applyFill="1" applyBorder="1" applyAlignment="1">
      <alignment horizontal="center" wrapText="1"/>
    </xf>
    <xf numFmtId="0" fontId="9" fillId="0" borderId="4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5E97-4CE7-803B-DD4B429C66A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5E97-4CE7-803B-DD4B429C66A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'Pruebas Req Func'!$A$25:$A$26</c:f>
              <c:strCache>
                <c:ptCount val="2"/>
                <c:pt idx="0">
                  <c:v>Pruebas Realizadas:</c:v>
                </c:pt>
                <c:pt idx="1">
                  <c:v>Pruebas por Realizadas:</c:v>
                </c:pt>
              </c:strCache>
            </c:strRef>
          </c:cat>
          <c:val>
            <c:numRef>
              <c:f>'Pruebas Req Func'!$C$25:$C$26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97-4CE7-803B-DD4B429C6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E77E-4BD6-8AA0-CC824EC9209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77E-4BD6-8AA0-CC824EC9209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'Pruebas Req Func'!$F$25:$F$26</c:f>
              <c:strCache>
                <c:ptCount val="2"/>
                <c:pt idx="0">
                  <c:v>Pruebas Exitosas:</c:v>
                </c:pt>
                <c:pt idx="1">
                  <c:v>Pruebas No Exitosas:</c:v>
                </c:pt>
              </c:strCache>
            </c:strRef>
          </c:cat>
          <c:val>
            <c:numRef>
              <c:f>'Pruebas Req Func'!$H$25:$H$26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7E-4BD6-8AA0-CC824EC9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28</xdr:row>
      <xdr:rowOff>9525</xdr:rowOff>
    </xdr:from>
    <xdr:ext cx="3552825" cy="2057400"/>
    <xdr:graphicFrame macro="">
      <xdr:nvGraphicFramePr>
        <xdr:cNvPr id="725724684" name="Chart 1">
          <a:extLst>
            <a:ext uri="{FF2B5EF4-FFF2-40B4-BE49-F238E27FC236}">
              <a16:creationId xmlns:a16="http://schemas.microsoft.com/office/drawing/2014/main" id="{00000000-0008-0000-0000-00000CAE4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1028700</xdr:colOff>
      <xdr:row>27</xdr:row>
      <xdr:rowOff>123825</xdr:rowOff>
    </xdr:from>
    <xdr:ext cx="3924300" cy="2085975"/>
    <xdr:graphicFrame macro="">
      <xdr:nvGraphicFramePr>
        <xdr:cNvPr id="625917057" name="Chart 2">
          <a:extLst>
            <a:ext uri="{FF2B5EF4-FFF2-40B4-BE49-F238E27FC236}">
              <a16:creationId xmlns:a16="http://schemas.microsoft.com/office/drawing/2014/main" id="{00000000-0008-0000-0000-000081BC4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sqref="A1:I2"/>
    </sheetView>
  </sheetViews>
  <sheetFormatPr baseColWidth="10" defaultColWidth="12.6328125" defaultRowHeight="15" customHeight="1" x14ac:dyDescent="0.25"/>
  <cols>
    <col min="1" max="1" width="15.08984375" customWidth="1"/>
    <col min="2" max="2" width="15.7265625" customWidth="1"/>
    <col min="3" max="4" width="14.26953125" customWidth="1"/>
    <col min="5" max="6" width="15.90625" customWidth="1"/>
    <col min="7" max="7" width="18.26953125" customWidth="1"/>
    <col min="8" max="8" width="15" customWidth="1"/>
    <col min="9" max="9" width="12.90625" customWidth="1"/>
    <col min="10" max="26" width="10.6328125" customWidth="1"/>
  </cols>
  <sheetData>
    <row r="1" spans="1:9" ht="12.75" customHeight="1" x14ac:dyDescent="0.25">
      <c r="A1" s="25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2.75" customHeight="1" x14ac:dyDescent="0.25">
      <c r="A2" s="26"/>
      <c r="B2" s="26"/>
      <c r="C2" s="26"/>
      <c r="D2" s="26"/>
      <c r="E2" s="26"/>
      <c r="F2" s="26"/>
      <c r="G2" s="26"/>
      <c r="H2" s="26"/>
      <c r="I2" s="26"/>
    </row>
    <row r="3" spans="1:9" ht="12.75" customHeight="1" x14ac:dyDescent="0.3">
      <c r="A3" s="27" t="s">
        <v>1</v>
      </c>
      <c r="B3" s="28"/>
      <c r="C3" s="1"/>
      <c r="D3" s="1"/>
      <c r="E3" s="1"/>
      <c r="F3" s="1"/>
      <c r="G3" s="1"/>
      <c r="H3" s="1"/>
      <c r="I3" s="2"/>
    </row>
    <row r="4" spans="1:9" ht="12.75" customHeight="1" x14ac:dyDescent="0.3">
      <c r="A4" s="29" t="s">
        <v>2</v>
      </c>
      <c r="B4" s="30"/>
      <c r="C4" s="3"/>
      <c r="D4" s="3"/>
      <c r="E4" s="3"/>
      <c r="F4" s="3"/>
      <c r="G4" s="3"/>
      <c r="H4" s="3"/>
      <c r="I4" s="4"/>
    </row>
    <row r="5" spans="1:9" ht="12.75" customHeight="1" x14ac:dyDescent="0.3">
      <c r="A5" s="31" t="s">
        <v>3</v>
      </c>
      <c r="B5" s="32"/>
      <c r="C5" s="3"/>
      <c r="D5" s="3"/>
      <c r="E5" s="3"/>
      <c r="F5" s="3"/>
      <c r="G5" s="3"/>
      <c r="H5" s="3"/>
      <c r="I5" s="4"/>
    </row>
    <row r="6" spans="1:9" ht="12.75" customHeight="1" x14ac:dyDescent="0.3">
      <c r="A6" s="33" t="s">
        <v>4</v>
      </c>
      <c r="B6" s="34"/>
      <c r="C6" s="5"/>
      <c r="D6" s="5"/>
      <c r="E6" s="5"/>
      <c r="F6" s="5"/>
      <c r="G6" s="5"/>
      <c r="H6" s="5"/>
      <c r="I6" s="6"/>
    </row>
    <row r="7" spans="1:9" ht="12.75" customHeight="1" x14ac:dyDescent="0.25">
      <c r="A7" s="3"/>
    </row>
    <row r="8" spans="1:9" ht="12.75" customHeight="1" x14ac:dyDescent="0.3">
      <c r="A8" s="7" t="s">
        <v>5</v>
      </c>
      <c r="B8" s="8" t="s">
        <v>6</v>
      </c>
      <c r="C8" s="8" t="s">
        <v>7</v>
      </c>
      <c r="D8" s="9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9" t="s">
        <v>13</v>
      </c>
    </row>
    <row r="9" spans="1:9" ht="12.75" customHeight="1" x14ac:dyDescent="0.25">
      <c r="A9" s="20" t="s">
        <v>22</v>
      </c>
      <c r="B9" s="10" t="s">
        <v>23</v>
      </c>
      <c r="C9" s="1" t="s">
        <v>24</v>
      </c>
      <c r="D9" s="1" t="s">
        <v>25</v>
      </c>
      <c r="E9" s="1" t="s">
        <v>26</v>
      </c>
      <c r="F9" s="10" t="s">
        <v>27</v>
      </c>
      <c r="G9" s="1" t="s">
        <v>28</v>
      </c>
      <c r="H9" s="1" t="s">
        <v>29</v>
      </c>
      <c r="I9" s="11" t="s">
        <v>27</v>
      </c>
    </row>
    <row r="10" spans="1:9" ht="12.75" customHeight="1" x14ac:dyDescent="0.25">
      <c r="A10" s="21" t="s">
        <v>30</v>
      </c>
      <c r="B10" s="12" t="s">
        <v>31</v>
      </c>
      <c r="C10" s="3" t="s">
        <v>32</v>
      </c>
      <c r="D10" s="3" t="s">
        <v>33</v>
      </c>
      <c r="E10" s="3" t="s">
        <v>26</v>
      </c>
      <c r="F10" s="12" t="s">
        <v>27</v>
      </c>
      <c r="G10" s="3" t="s">
        <v>28</v>
      </c>
      <c r="H10" s="3" t="s">
        <v>34</v>
      </c>
      <c r="I10" s="13" t="s">
        <v>27</v>
      </c>
    </row>
    <row r="11" spans="1:9" ht="12.75" customHeight="1" x14ac:dyDescent="0.25">
      <c r="A11" s="22" t="s">
        <v>30</v>
      </c>
      <c r="B11" s="14" t="s">
        <v>35</v>
      </c>
      <c r="C11" s="5" t="s">
        <v>36</v>
      </c>
      <c r="D11" s="5" t="s">
        <v>37</v>
      </c>
      <c r="E11" s="5" t="s">
        <v>26</v>
      </c>
      <c r="F11" s="14" t="s">
        <v>27</v>
      </c>
      <c r="G11" s="5" t="s">
        <v>28</v>
      </c>
      <c r="H11" s="5" t="s">
        <v>38</v>
      </c>
      <c r="I11" s="15" t="s">
        <v>27</v>
      </c>
    </row>
    <row r="12" spans="1:9" ht="12.75" customHeight="1" x14ac:dyDescent="0.25">
      <c r="A12" s="20" t="s">
        <v>39</v>
      </c>
      <c r="B12" s="10" t="s">
        <v>40</v>
      </c>
      <c r="C12" s="1" t="s">
        <v>41</v>
      </c>
      <c r="D12" s="1" t="s">
        <v>42</v>
      </c>
      <c r="E12" s="1" t="s">
        <v>26</v>
      </c>
      <c r="F12" s="10" t="s">
        <v>27</v>
      </c>
      <c r="G12" s="1" t="s">
        <v>28</v>
      </c>
      <c r="H12" s="1" t="s">
        <v>43</v>
      </c>
      <c r="I12" s="11" t="s">
        <v>27</v>
      </c>
    </row>
    <row r="13" spans="1:9" ht="12.75" customHeight="1" x14ac:dyDescent="0.25">
      <c r="A13" s="21" t="s">
        <v>30</v>
      </c>
      <c r="B13" s="12" t="s">
        <v>44</v>
      </c>
      <c r="C13" s="3" t="s">
        <v>45</v>
      </c>
      <c r="D13" s="3" t="s">
        <v>46</v>
      </c>
      <c r="E13" s="3" t="s">
        <v>26</v>
      </c>
      <c r="F13" s="12" t="s">
        <v>27</v>
      </c>
      <c r="G13" s="3" t="s">
        <v>28</v>
      </c>
      <c r="H13" s="3" t="s">
        <v>47</v>
      </c>
      <c r="I13" s="13" t="s">
        <v>27</v>
      </c>
    </row>
    <row r="14" spans="1:9" ht="12.75" customHeight="1" x14ac:dyDescent="0.25">
      <c r="A14" s="22" t="s">
        <v>30</v>
      </c>
      <c r="B14" s="14" t="s">
        <v>48</v>
      </c>
      <c r="C14" s="5" t="s">
        <v>49</v>
      </c>
      <c r="D14" s="5" t="s">
        <v>50</v>
      </c>
      <c r="E14" s="5" t="s">
        <v>26</v>
      </c>
      <c r="F14" s="14" t="s">
        <v>27</v>
      </c>
      <c r="G14" s="5" t="s">
        <v>28</v>
      </c>
      <c r="H14" s="5" t="s">
        <v>51</v>
      </c>
      <c r="I14" s="15" t="s">
        <v>27</v>
      </c>
    </row>
    <row r="15" spans="1:9" ht="12.75" customHeight="1" x14ac:dyDescent="0.25">
      <c r="A15" s="20" t="s">
        <v>52</v>
      </c>
      <c r="B15" s="10" t="s">
        <v>53</v>
      </c>
      <c r="C15" s="1" t="s">
        <v>54</v>
      </c>
      <c r="D15" s="1" t="s">
        <v>55</v>
      </c>
      <c r="E15" s="1" t="s">
        <v>26</v>
      </c>
      <c r="F15" s="10" t="s">
        <v>27</v>
      </c>
      <c r="G15" s="1" t="s">
        <v>28</v>
      </c>
      <c r="H15" s="1" t="s">
        <v>56</v>
      </c>
      <c r="I15" s="11" t="s">
        <v>27</v>
      </c>
    </row>
    <row r="16" spans="1:9" ht="12.75" customHeight="1" x14ac:dyDescent="0.25">
      <c r="A16" s="21" t="s">
        <v>30</v>
      </c>
      <c r="B16" s="3" t="s">
        <v>57</v>
      </c>
      <c r="C16" s="3" t="s">
        <v>58</v>
      </c>
      <c r="D16" s="3" t="s">
        <v>59</v>
      </c>
      <c r="E16" s="3" t="s">
        <v>26</v>
      </c>
      <c r="F16" s="12" t="s">
        <v>27</v>
      </c>
      <c r="G16" s="3" t="s">
        <v>28</v>
      </c>
      <c r="H16" s="3" t="s">
        <v>60</v>
      </c>
      <c r="I16" s="13" t="s">
        <v>27</v>
      </c>
    </row>
    <row r="17" spans="1:9" ht="12.75" customHeight="1" x14ac:dyDescent="0.25">
      <c r="A17" s="22" t="s">
        <v>30</v>
      </c>
      <c r="B17" s="5" t="s">
        <v>61</v>
      </c>
      <c r="C17" s="5" t="s">
        <v>62</v>
      </c>
      <c r="D17" s="5" t="s">
        <v>63</v>
      </c>
      <c r="E17" s="5" t="s">
        <v>26</v>
      </c>
      <c r="F17" s="14" t="s">
        <v>27</v>
      </c>
      <c r="G17" s="5" t="s">
        <v>28</v>
      </c>
      <c r="H17" s="5" t="s">
        <v>64</v>
      </c>
      <c r="I17" s="15" t="s">
        <v>27</v>
      </c>
    </row>
    <row r="19" spans="1:9" ht="12.75" customHeight="1" x14ac:dyDescent="0.25">
      <c r="A19" s="16" t="s">
        <v>14</v>
      </c>
      <c r="B19" s="17" t="s">
        <v>65</v>
      </c>
    </row>
    <row r="20" spans="1:9" ht="1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</row>
    <row r="22" spans="1:9" ht="12.75" customHeight="1" x14ac:dyDescent="0.25">
      <c r="A22" s="3" t="s">
        <v>15</v>
      </c>
      <c r="C22" s="18">
        <f>IF(C24=0,0,ROUND(C25/C24*100,2))</f>
        <v>100</v>
      </c>
      <c r="F22" s="3" t="s">
        <v>16</v>
      </c>
      <c r="H22" s="18">
        <f>IF(C25=0,0,ROUND(H25/C25*100,2))</f>
        <v>100</v>
      </c>
    </row>
    <row r="24" spans="1:9" ht="12.75" customHeight="1" x14ac:dyDescent="0.25">
      <c r="A24" s="24" t="s">
        <v>17</v>
      </c>
      <c r="B24" s="23"/>
      <c r="C24" s="18">
        <f>COUNTA(B9:B17)</f>
        <v>9</v>
      </c>
    </row>
    <row r="25" spans="1:9" ht="12.75" customHeight="1" x14ac:dyDescent="0.25">
      <c r="A25" s="24" t="s">
        <v>18</v>
      </c>
      <c r="B25" s="23"/>
      <c r="C25" s="19">
        <f>COUNTIF(F9:F17,"Sí")</f>
        <v>9</v>
      </c>
      <c r="F25" s="24" t="s">
        <v>19</v>
      </c>
      <c r="G25" s="23"/>
      <c r="H25" s="19">
        <f>COUNTIF(I9:I17,"Sí")</f>
        <v>9</v>
      </c>
    </row>
    <row r="26" spans="1:9" ht="12.75" customHeight="1" x14ac:dyDescent="0.25">
      <c r="A26" s="24" t="s">
        <v>20</v>
      </c>
      <c r="B26" s="23"/>
      <c r="C26" s="18">
        <f>C24-C25</f>
        <v>0</v>
      </c>
      <c r="F26" s="24" t="s">
        <v>21</v>
      </c>
      <c r="G26" s="23"/>
      <c r="H26" s="18">
        <f>COUNTIF(I9:I17,"No")</f>
        <v>0</v>
      </c>
    </row>
  </sheetData>
  <mergeCells count="14">
    <mergeCell ref="A26:B26"/>
    <mergeCell ref="F26:G26"/>
    <mergeCell ref="A1:I2"/>
    <mergeCell ref="A3:B3"/>
    <mergeCell ref="A4:B4"/>
    <mergeCell ref="A5:B5"/>
    <mergeCell ref="A6:B6"/>
    <mergeCell ref="A9:A11"/>
    <mergeCell ref="A12:A14"/>
    <mergeCell ref="A15:A17"/>
    <mergeCell ref="A20:I20"/>
    <mergeCell ref="A24:B24"/>
    <mergeCell ref="A25:B25"/>
    <mergeCell ref="F25:G25"/>
  </mergeCells>
  <dataValidations count="1">
    <dataValidation type="list" allowBlank="1" showInputMessage="1" showErrorMessage="1" prompt="Debe ingresar uno de los siguientes valores:_x000a_&quot;SI&quot;_x000a_&quot;NO&quot;" sqref="F9:F17 I9:I17" xr:uid="{00000000-0002-0000-0000-000000000000}">
      <formula1>"Sí,No"</formula1>
    </dataValidation>
  </dataValidations>
  <pageMargins left="0.70866141732283472" right="0.70866141732283472" top="0.94488188976377963" bottom="0.55118110236220474" header="0" footer="0"/>
  <pageSetup scale="90" orientation="landscape"/>
  <headerFooter>
    <oddHeader>&amp;C Gerencia Dirección de Operaciones&amp;R Edición Vigente 13/01/2014</oddHeader>
    <oddFooter>&amp;LUso Interno&amp;CGerencia de Sistemas y Tecnología&amp;R&amp;P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opLeftCell="A8" workbookViewId="0">
      <selection activeCell="E2" sqref="E2"/>
    </sheetView>
  </sheetViews>
  <sheetFormatPr baseColWidth="10" defaultRowHeight="12.5" x14ac:dyDescent="0.25"/>
  <cols>
    <col min="1" max="16384" width="10.90625" style="36"/>
  </cols>
  <sheetData>
    <row r="1" spans="1:11" ht="39" x14ac:dyDescent="0.3">
      <c r="A1" s="35" t="s">
        <v>5</v>
      </c>
      <c r="B1" s="35" t="s">
        <v>66</v>
      </c>
      <c r="C1" s="35" t="s">
        <v>67</v>
      </c>
      <c r="D1" s="35" t="s">
        <v>68</v>
      </c>
      <c r="E1" s="35" t="s">
        <v>69</v>
      </c>
      <c r="F1" s="35" t="s">
        <v>70</v>
      </c>
      <c r="G1" s="35" t="s">
        <v>71</v>
      </c>
      <c r="H1" s="35" t="s">
        <v>72</v>
      </c>
      <c r="I1" s="35" t="s">
        <v>73</v>
      </c>
      <c r="J1" s="35" t="s">
        <v>74</v>
      </c>
      <c r="K1" s="35" t="s">
        <v>12</v>
      </c>
    </row>
    <row r="2" spans="1:11" ht="75" x14ac:dyDescent="0.25">
      <c r="A2" s="39" t="s">
        <v>22</v>
      </c>
      <c r="B2" s="39" t="s">
        <v>23</v>
      </c>
      <c r="C2" s="39" t="s">
        <v>75</v>
      </c>
      <c r="D2" s="39" t="s">
        <v>76</v>
      </c>
      <c r="E2" s="39" t="s">
        <v>28</v>
      </c>
      <c r="F2" s="38" t="s">
        <v>77</v>
      </c>
      <c r="G2" s="38" t="s">
        <v>30</v>
      </c>
      <c r="H2" s="38" t="s">
        <v>30</v>
      </c>
      <c r="I2" s="39" t="s">
        <v>78</v>
      </c>
      <c r="J2" s="39" t="s">
        <v>28</v>
      </c>
      <c r="K2" s="38" t="s">
        <v>79</v>
      </c>
    </row>
    <row r="3" spans="1:11" ht="37.5" x14ac:dyDescent="0.25">
      <c r="A3" s="39" t="s">
        <v>80</v>
      </c>
      <c r="B3" s="39" t="s">
        <v>31</v>
      </c>
      <c r="C3" s="39" t="s">
        <v>81</v>
      </c>
      <c r="D3" s="39" t="s">
        <v>76</v>
      </c>
      <c r="E3" s="39" t="s">
        <v>28</v>
      </c>
      <c r="F3" s="38" t="s">
        <v>82</v>
      </c>
      <c r="G3" s="38" t="s">
        <v>30</v>
      </c>
      <c r="H3" s="38" t="s">
        <v>30</v>
      </c>
      <c r="I3" s="39" t="s">
        <v>78</v>
      </c>
      <c r="J3" s="39" t="s">
        <v>28</v>
      </c>
      <c r="K3" s="38" t="s">
        <v>83</v>
      </c>
    </row>
    <row r="4" spans="1:11" ht="87.5" x14ac:dyDescent="0.25">
      <c r="A4" s="39" t="s">
        <v>84</v>
      </c>
      <c r="B4" s="39" t="s">
        <v>35</v>
      </c>
      <c r="C4" s="39" t="s">
        <v>85</v>
      </c>
      <c r="D4" s="39" t="s">
        <v>86</v>
      </c>
      <c r="E4" s="39" t="s">
        <v>28</v>
      </c>
      <c r="F4" s="38" t="s">
        <v>87</v>
      </c>
      <c r="G4" s="38" t="s">
        <v>30</v>
      </c>
      <c r="H4" s="38" t="s">
        <v>30</v>
      </c>
      <c r="I4" s="39" t="s">
        <v>78</v>
      </c>
      <c r="J4" s="39" t="s">
        <v>28</v>
      </c>
      <c r="K4" s="38" t="s">
        <v>88</v>
      </c>
    </row>
    <row r="5" spans="1:11" ht="87.5" x14ac:dyDescent="0.25">
      <c r="A5" s="39" t="s">
        <v>39</v>
      </c>
      <c r="B5" s="39" t="s">
        <v>40</v>
      </c>
      <c r="C5" s="39" t="s">
        <v>85</v>
      </c>
      <c r="D5" s="39" t="s">
        <v>86</v>
      </c>
      <c r="E5" s="39" t="s">
        <v>28</v>
      </c>
      <c r="F5" s="38" t="s">
        <v>89</v>
      </c>
      <c r="G5" s="38" t="s">
        <v>30</v>
      </c>
      <c r="H5" s="38" t="s">
        <v>30</v>
      </c>
      <c r="I5" s="39" t="s">
        <v>78</v>
      </c>
      <c r="J5" s="39" t="s">
        <v>28</v>
      </c>
      <c r="K5" s="38" t="s">
        <v>90</v>
      </c>
    </row>
    <row r="6" spans="1:11" ht="87.5" x14ac:dyDescent="0.25">
      <c r="A6" s="39" t="s">
        <v>91</v>
      </c>
      <c r="B6" s="39" t="s">
        <v>44</v>
      </c>
      <c r="C6" s="39" t="s">
        <v>85</v>
      </c>
      <c r="D6" s="39" t="s">
        <v>86</v>
      </c>
      <c r="E6" s="39" t="s">
        <v>28</v>
      </c>
      <c r="F6" s="38" t="s">
        <v>92</v>
      </c>
      <c r="G6" s="38" t="s">
        <v>30</v>
      </c>
      <c r="H6" s="38" t="s">
        <v>30</v>
      </c>
      <c r="I6" s="39" t="s">
        <v>78</v>
      </c>
      <c r="J6" s="39" t="s">
        <v>28</v>
      </c>
      <c r="K6" s="38" t="s">
        <v>93</v>
      </c>
    </row>
    <row r="7" spans="1:11" ht="87.5" x14ac:dyDescent="0.25">
      <c r="A7" s="39" t="s">
        <v>94</v>
      </c>
      <c r="B7" s="39" t="s">
        <v>48</v>
      </c>
      <c r="C7" s="39" t="s">
        <v>85</v>
      </c>
      <c r="D7" s="39" t="s">
        <v>86</v>
      </c>
      <c r="E7" s="39" t="s">
        <v>28</v>
      </c>
      <c r="F7" s="38" t="s">
        <v>95</v>
      </c>
      <c r="G7" s="38" t="s">
        <v>30</v>
      </c>
      <c r="H7" s="38" t="s">
        <v>30</v>
      </c>
      <c r="I7" s="39" t="s">
        <v>78</v>
      </c>
      <c r="J7" s="39" t="s">
        <v>28</v>
      </c>
      <c r="K7" s="38" t="s">
        <v>96</v>
      </c>
    </row>
    <row r="8" spans="1:11" ht="87.5" x14ac:dyDescent="0.25">
      <c r="A8" s="39" t="s">
        <v>52</v>
      </c>
      <c r="B8" s="39" t="s">
        <v>53</v>
      </c>
      <c r="C8" s="39" t="s">
        <v>85</v>
      </c>
      <c r="D8" s="39" t="s">
        <v>97</v>
      </c>
      <c r="E8" s="39" t="s">
        <v>28</v>
      </c>
      <c r="F8" s="38" t="s">
        <v>98</v>
      </c>
      <c r="G8" s="38" t="s">
        <v>30</v>
      </c>
      <c r="H8" s="38" t="s">
        <v>30</v>
      </c>
      <c r="I8" s="39" t="s">
        <v>78</v>
      </c>
      <c r="J8" s="39" t="s">
        <v>28</v>
      </c>
      <c r="K8" s="38" t="s">
        <v>99</v>
      </c>
    </row>
    <row r="9" spans="1:11" ht="87.5" x14ac:dyDescent="0.25">
      <c r="A9" s="39" t="s">
        <v>100</v>
      </c>
      <c r="B9" s="39" t="s">
        <v>57</v>
      </c>
      <c r="C9" s="39" t="s">
        <v>101</v>
      </c>
      <c r="D9" s="39" t="s">
        <v>102</v>
      </c>
      <c r="E9" s="39" t="s">
        <v>28</v>
      </c>
      <c r="F9" s="38" t="s">
        <v>103</v>
      </c>
      <c r="G9" s="38" t="s">
        <v>104</v>
      </c>
      <c r="H9" s="38" t="s">
        <v>105</v>
      </c>
      <c r="I9" s="39" t="s">
        <v>27</v>
      </c>
      <c r="J9" s="39" t="s">
        <v>28</v>
      </c>
      <c r="K9" s="38" t="s">
        <v>106</v>
      </c>
    </row>
    <row r="10" spans="1:11" ht="87.5" x14ac:dyDescent="0.25">
      <c r="A10" s="39" t="s">
        <v>107</v>
      </c>
      <c r="B10" s="39" t="s">
        <v>61</v>
      </c>
      <c r="C10" s="39" t="s">
        <v>101</v>
      </c>
      <c r="D10" s="39" t="s">
        <v>108</v>
      </c>
      <c r="E10" s="39" t="s">
        <v>28</v>
      </c>
      <c r="F10" s="38" t="s">
        <v>109</v>
      </c>
      <c r="G10" s="38" t="s">
        <v>30</v>
      </c>
      <c r="H10" s="38" t="s">
        <v>30</v>
      </c>
      <c r="I10" s="39" t="s">
        <v>78</v>
      </c>
      <c r="J10" s="39" t="s">
        <v>28</v>
      </c>
      <c r="K10" s="38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topLeftCell="A21" workbookViewId="0">
      <selection activeCell="D3" sqref="D3"/>
    </sheetView>
  </sheetViews>
  <sheetFormatPr baseColWidth="10" defaultColWidth="8.7265625" defaultRowHeight="12.5" x14ac:dyDescent="0.25"/>
  <cols>
    <col min="1" max="1" width="16" style="36" customWidth="1"/>
    <col min="2" max="2" width="10" style="36" customWidth="1"/>
    <col min="3" max="3" width="22" style="36" customWidth="1"/>
    <col min="4" max="5" width="30" style="36" customWidth="1"/>
    <col min="6" max="7" width="34" style="36" customWidth="1"/>
    <col min="8" max="10" width="42" style="36" customWidth="1"/>
    <col min="11" max="11" width="14" style="36" customWidth="1"/>
    <col min="12" max="12" width="48" style="36" customWidth="1"/>
    <col min="13" max="13" width="24" style="36" customWidth="1"/>
    <col min="14" max="16384" width="8.7265625" style="36"/>
  </cols>
  <sheetData>
    <row r="1" spans="1:13" ht="30" customHeight="1" x14ac:dyDescent="0.3">
      <c r="A1" s="35" t="s">
        <v>111</v>
      </c>
      <c r="B1" s="35" t="s">
        <v>68</v>
      </c>
      <c r="C1" s="35" t="s">
        <v>112</v>
      </c>
      <c r="D1" s="35" t="s">
        <v>66</v>
      </c>
      <c r="E1" s="35" t="s">
        <v>113</v>
      </c>
      <c r="F1" s="35" t="s">
        <v>114</v>
      </c>
      <c r="G1" s="35" t="s">
        <v>115</v>
      </c>
      <c r="H1" s="35" t="s">
        <v>116</v>
      </c>
      <c r="I1" s="35" t="s">
        <v>117</v>
      </c>
      <c r="J1" s="35" t="s">
        <v>118</v>
      </c>
      <c r="K1" s="35" t="s">
        <v>119</v>
      </c>
      <c r="L1" s="35" t="s">
        <v>120</v>
      </c>
      <c r="M1" s="35" t="s">
        <v>121</v>
      </c>
    </row>
    <row r="2" spans="1:13" ht="42" customHeight="1" x14ac:dyDescent="0.3">
      <c r="A2" s="37" t="s">
        <v>122</v>
      </c>
      <c r="B2" s="37" t="s">
        <v>123</v>
      </c>
      <c r="C2" s="37" t="s">
        <v>124</v>
      </c>
      <c r="D2" s="37" t="s">
        <v>125</v>
      </c>
      <c r="E2" s="37" t="s">
        <v>126</v>
      </c>
      <c r="F2" s="37" t="s">
        <v>127</v>
      </c>
      <c r="G2" s="37" t="s">
        <v>128</v>
      </c>
      <c r="H2" s="37" t="s">
        <v>129</v>
      </c>
      <c r="I2" s="37" t="s">
        <v>130</v>
      </c>
      <c r="J2" s="38" t="s">
        <v>131</v>
      </c>
      <c r="K2" s="37" t="s">
        <v>132</v>
      </c>
      <c r="L2" s="38" t="s">
        <v>133</v>
      </c>
      <c r="M2" s="37" t="s">
        <v>134</v>
      </c>
    </row>
    <row r="3" spans="1:13" ht="42" customHeight="1" x14ac:dyDescent="0.3">
      <c r="A3" s="37" t="s">
        <v>135</v>
      </c>
      <c r="B3" s="37" t="s">
        <v>123</v>
      </c>
      <c r="C3" s="37" t="s">
        <v>124</v>
      </c>
      <c r="D3" s="37" t="s">
        <v>136</v>
      </c>
      <c r="E3" s="37" t="s">
        <v>137</v>
      </c>
      <c r="F3" s="37" t="s">
        <v>138</v>
      </c>
      <c r="G3" s="37" t="s">
        <v>139</v>
      </c>
      <c r="H3" s="37" t="s">
        <v>140</v>
      </c>
      <c r="I3" s="37" t="s">
        <v>141</v>
      </c>
      <c r="J3" s="38" t="s">
        <v>142</v>
      </c>
      <c r="K3" s="37" t="s">
        <v>132</v>
      </c>
      <c r="L3" s="37" t="s">
        <v>143</v>
      </c>
      <c r="M3" s="37" t="s">
        <v>134</v>
      </c>
    </row>
    <row r="4" spans="1:13" ht="42" customHeight="1" x14ac:dyDescent="0.3">
      <c r="A4" s="37" t="s">
        <v>144</v>
      </c>
      <c r="B4" s="37" t="s">
        <v>123</v>
      </c>
      <c r="C4" s="37" t="s">
        <v>124</v>
      </c>
      <c r="D4" s="37" t="s">
        <v>145</v>
      </c>
      <c r="E4" s="37" t="s">
        <v>146</v>
      </c>
      <c r="F4" s="37" t="s">
        <v>147</v>
      </c>
      <c r="G4" s="37" t="s">
        <v>148</v>
      </c>
      <c r="H4" s="37" t="s">
        <v>149</v>
      </c>
      <c r="I4" s="37" t="s">
        <v>150</v>
      </c>
      <c r="J4" s="37" t="s">
        <v>151</v>
      </c>
      <c r="K4" s="37" t="s">
        <v>132</v>
      </c>
      <c r="L4" s="37" t="s">
        <v>143</v>
      </c>
      <c r="M4" s="37" t="s">
        <v>134</v>
      </c>
    </row>
    <row r="5" spans="1:13" ht="42" customHeight="1" x14ac:dyDescent="0.3">
      <c r="A5" s="37" t="s">
        <v>152</v>
      </c>
      <c r="B5" s="37" t="s">
        <v>123</v>
      </c>
      <c r="C5" s="37" t="s">
        <v>124</v>
      </c>
      <c r="D5" s="37" t="s">
        <v>153</v>
      </c>
      <c r="E5" s="37" t="s">
        <v>154</v>
      </c>
      <c r="F5" s="37" t="s">
        <v>155</v>
      </c>
      <c r="G5" s="37" t="s">
        <v>156</v>
      </c>
      <c r="H5" s="37" t="s">
        <v>157</v>
      </c>
      <c r="I5" s="37" t="s">
        <v>158</v>
      </c>
      <c r="J5" s="37" t="s">
        <v>159</v>
      </c>
      <c r="K5" s="37" t="s">
        <v>132</v>
      </c>
      <c r="L5" s="37" t="s">
        <v>160</v>
      </c>
      <c r="M5" s="37" t="s">
        <v>134</v>
      </c>
    </row>
    <row r="6" spans="1:13" ht="42" customHeight="1" x14ac:dyDescent="0.3">
      <c r="A6" s="37" t="s">
        <v>161</v>
      </c>
      <c r="B6" s="37" t="s">
        <v>123</v>
      </c>
      <c r="C6" s="37" t="s">
        <v>124</v>
      </c>
      <c r="D6" s="37" t="s">
        <v>162</v>
      </c>
      <c r="E6" s="37" t="s">
        <v>163</v>
      </c>
      <c r="F6" s="37" t="s">
        <v>164</v>
      </c>
      <c r="G6" s="37" t="s">
        <v>165</v>
      </c>
      <c r="H6" s="37" t="s">
        <v>166</v>
      </c>
      <c r="I6" s="37" t="s">
        <v>167</v>
      </c>
      <c r="J6" s="37" t="s">
        <v>159</v>
      </c>
      <c r="K6" s="37" t="s">
        <v>132</v>
      </c>
      <c r="L6" s="37" t="s">
        <v>160</v>
      </c>
      <c r="M6" s="37" t="s">
        <v>134</v>
      </c>
    </row>
    <row r="7" spans="1:13" ht="42" customHeight="1" x14ac:dyDescent="0.3">
      <c r="A7" s="37" t="s">
        <v>168</v>
      </c>
      <c r="B7" s="37" t="s">
        <v>169</v>
      </c>
      <c r="C7" s="37" t="s">
        <v>170</v>
      </c>
      <c r="D7" s="37" t="s">
        <v>171</v>
      </c>
      <c r="E7" s="37" t="s">
        <v>172</v>
      </c>
      <c r="F7" s="37" t="s">
        <v>173</v>
      </c>
      <c r="G7" s="37" t="s">
        <v>174</v>
      </c>
      <c r="H7" s="37" t="s">
        <v>175</v>
      </c>
      <c r="I7" s="37" t="s">
        <v>176</v>
      </c>
      <c r="J7" s="37" t="s">
        <v>177</v>
      </c>
      <c r="K7" s="37" t="s">
        <v>132</v>
      </c>
      <c r="L7" s="37" t="s">
        <v>178</v>
      </c>
      <c r="M7" s="37" t="s">
        <v>179</v>
      </c>
    </row>
    <row r="8" spans="1:13" ht="42" customHeight="1" x14ac:dyDescent="0.3">
      <c r="A8" s="37" t="s">
        <v>180</v>
      </c>
      <c r="B8" s="37" t="s">
        <v>169</v>
      </c>
      <c r="C8" s="37" t="s">
        <v>170</v>
      </c>
      <c r="D8" s="37" t="s">
        <v>181</v>
      </c>
      <c r="E8" s="37" t="s">
        <v>182</v>
      </c>
      <c r="F8" s="37" t="s">
        <v>183</v>
      </c>
      <c r="G8" s="37" t="s">
        <v>184</v>
      </c>
      <c r="H8" s="37" t="s">
        <v>185</v>
      </c>
      <c r="I8" s="37" t="s">
        <v>186</v>
      </c>
      <c r="J8" s="37" t="s">
        <v>177</v>
      </c>
      <c r="K8" s="37" t="s">
        <v>132</v>
      </c>
      <c r="L8" s="37" t="s">
        <v>178</v>
      </c>
      <c r="M8" s="37" t="s">
        <v>179</v>
      </c>
    </row>
    <row r="9" spans="1:13" ht="42" customHeight="1" x14ac:dyDescent="0.3">
      <c r="A9" s="37" t="s">
        <v>187</v>
      </c>
      <c r="B9" s="37" t="s">
        <v>169</v>
      </c>
      <c r="C9" s="37" t="s">
        <v>170</v>
      </c>
      <c r="D9" s="37" t="s">
        <v>188</v>
      </c>
      <c r="E9" s="37" t="s">
        <v>189</v>
      </c>
      <c r="F9" s="37" t="s">
        <v>190</v>
      </c>
      <c r="G9" s="37" t="s">
        <v>191</v>
      </c>
      <c r="H9" s="37" t="s">
        <v>192</v>
      </c>
      <c r="I9" s="37" t="s">
        <v>193</v>
      </c>
      <c r="J9" s="37" t="s">
        <v>177</v>
      </c>
      <c r="K9" s="37" t="s">
        <v>132</v>
      </c>
      <c r="L9" s="37" t="s">
        <v>178</v>
      </c>
      <c r="M9" s="37" t="s">
        <v>179</v>
      </c>
    </row>
    <row r="10" spans="1:13" ht="42" customHeight="1" x14ac:dyDescent="0.3">
      <c r="A10" s="37" t="s">
        <v>194</v>
      </c>
      <c r="B10" s="37" t="s">
        <v>169</v>
      </c>
      <c r="C10" s="37" t="s">
        <v>170</v>
      </c>
      <c r="D10" s="37" t="s">
        <v>195</v>
      </c>
      <c r="E10" s="37" t="s">
        <v>196</v>
      </c>
      <c r="F10" s="37" t="s">
        <v>197</v>
      </c>
      <c r="G10" s="37" t="s">
        <v>198</v>
      </c>
      <c r="H10" s="37" t="s">
        <v>199</v>
      </c>
      <c r="I10" s="37" t="s">
        <v>200</v>
      </c>
      <c r="J10" s="37" t="s">
        <v>201</v>
      </c>
      <c r="K10" s="37" t="s">
        <v>132</v>
      </c>
      <c r="L10" s="37" t="s">
        <v>178</v>
      </c>
      <c r="M10" s="37" t="s">
        <v>179</v>
      </c>
    </row>
    <row r="11" spans="1:13" ht="42" customHeight="1" x14ac:dyDescent="0.3">
      <c r="A11" s="37" t="s">
        <v>202</v>
      </c>
      <c r="B11" s="37" t="s">
        <v>169</v>
      </c>
      <c r="C11" s="37" t="s">
        <v>170</v>
      </c>
      <c r="D11" s="37" t="s">
        <v>203</v>
      </c>
      <c r="E11" s="37" t="s">
        <v>204</v>
      </c>
      <c r="F11" s="37" t="s">
        <v>205</v>
      </c>
      <c r="G11" s="37" t="s">
        <v>206</v>
      </c>
      <c r="H11" s="37" t="s">
        <v>207</v>
      </c>
      <c r="I11" s="37" t="s">
        <v>208</v>
      </c>
      <c r="J11" s="37" t="s">
        <v>209</v>
      </c>
      <c r="K11" s="37" t="s">
        <v>132</v>
      </c>
      <c r="L11" s="37" t="s">
        <v>178</v>
      </c>
      <c r="M11" s="37" t="s">
        <v>179</v>
      </c>
    </row>
    <row r="12" spans="1:13" ht="42" customHeight="1" x14ac:dyDescent="0.3">
      <c r="A12" s="37" t="s">
        <v>210</v>
      </c>
      <c r="B12" s="37" t="s">
        <v>211</v>
      </c>
      <c r="C12" s="37" t="s">
        <v>212</v>
      </c>
      <c r="D12" s="37" t="s">
        <v>213</v>
      </c>
      <c r="E12" s="37" t="s">
        <v>214</v>
      </c>
      <c r="F12" s="37" t="s">
        <v>215</v>
      </c>
      <c r="G12" s="37" t="s">
        <v>216</v>
      </c>
      <c r="H12" s="37" t="s">
        <v>217</v>
      </c>
      <c r="I12" s="38" t="s">
        <v>218</v>
      </c>
      <c r="J12" s="37" t="s">
        <v>219</v>
      </c>
      <c r="K12" s="37" t="s">
        <v>132</v>
      </c>
      <c r="L12" s="37" t="s">
        <v>220</v>
      </c>
      <c r="M12" s="37" t="s">
        <v>221</v>
      </c>
    </row>
    <row r="13" spans="1:13" ht="42" customHeight="1" x14ac:dyDescent="0.3">
      <c r="A13" s="37" t="s">
        <v>222</v>
      </c>
      <c r="B13" s="37" t="s">
        <v>211</v>
      </c>
      <c r="C13" s="37" t="s">
        <v>212</v>
      </c>
      <c r="D13" s="37" t="s">
        <v>223</v>
      </c>
      <c r="E13" s="37" t="s">
        <v>224</v>
      </c>
      <c r="F13" s="37" t="s">
        <v>225</v>
      </c>
      <c r="G13" s="37" t="s">
        <v>226</v>
      </c>
      <c r="H13" s="37" t="s">
        <v>227</v>
      </c>
      <c r="I13" s="37" t="s">
        <v>228</v>
      </c>
      <c r="J13" s="37" t="s">
        <v>229</v>
      </c>
      <c r="K13" s="37" t="s">
        <v>132</v>
      </c>
      <c r="L13" s="37" t="s">
        <v>230</v>
      </c>
      <c r="M13" s="37" t="s">
        <v>221</v>
      </c>
    </row>
    <row r="14" spans="1:13" ht="42" customHeight="1" x14ac:dyDescent="0.3">
      <c r="A14" s="37" t="s">
        <v>231</v>
      </c>
      <c r="B14" s="37" t="s">
        <v>211</v>
      </c>
      <c r="C14" s="37" t="s">
        <v>212</v>
      </c>
      <c r="D14" s="37" t="s">
        <v>232</v>
      </c>
      <c r="E14" s="37" t="s">
        <v>233</v>
      </c>
      <c r="F14" s="37" t="s">
        <v>234</v>
      </c>
      <c r="G14" s="37" t="s">
        <v>235</v>
      </c>
      <c r="H14" s="37" t="s">
        <v>236</v>
      </c>
      <c r="I14" s="37" t="s">
        <v>237</v>
      </c>
      <c r="J14" s="37" t="s">
        <v>229</v>
      </c>
      <c r="K14" s="37" t="s">
        <v>132</v>
      </c>
      <c r="L14" s="37" t="s">
        <v>220</v>
      </c>
      <c r="M14" s="37" t="s">
        <v>221</v>
      </c>
    </row>
    <row r="15" spans="1:13" ht="42" customHeight="1" x14ac:dyDescent="0.3">
      <c r="A15" s="37" t="s">
        <v>238</v>
      </c>
      <c r="B15" s="37" t="s">
        <v>211</v>
      </c>
      <c r="C15" s="37" t="s">
        <v>212</v>
      </c>
      <c r="D15" s="37" t="s">
        <v>239</v>
      </c>
      <c r="E15" s="37" t="s">
        <v>240</v>
      </c>
      <c r="F15" s="37" t="s">
        <v>241</v>
      </c>
      <c r="G15" s="37" t="s">
        <v>242</v>
      </c>
      <c r="H15" s="37" t="s">
        <v>243</v>
      </c>
      <c r="I15" s="37" t="s">
        <v>244</v>
      </c>
      <c r="J15" s="38" t="s">
        <v>245</v>
      </c>
      <c r="K15" s="37" t="s">
        <v>246</v>
      </c>
      <c r="L15" s="37" t="s">
        <v>220</v>
      </c>
      <c r="M15" s="37" t="s">
        <v>221</v>
      </c>
    </row>
    <row r="16" spans="1:13" ht="42" customHeight="1" x14ac:dyDescent="0.3">
      <c r="A16" s="37" t="s">
        <v>247</v>
      </c>
      <c r="B16" s="37" t="s">
        <v>211</v>
      </c>
      <c r="C16" s="37" t="s">
        <v>212</v>
      </c>
      <c r="D16" s="37" t="s">
        <v>248</v>
      </c>
      <c r="E16" s="37" t="s">
        <v>249</v>
      </c>
      <c r="F16" s="37" t="s">
        <v>250</v>
      </c>
      <c r="G16" s="37" t="s">
        <v>251</v>
      </c>
      <c r="H16" s="37" t="s">
        <v>252</v>
      </c>
      <c r="I16" s="37" t="s">
        <v>253</v>
      </c>
      <c r="J16" s="37" t="s">
        <v>254</v>
      </c>
      <c r="K16" s="37" t="s">
        <v>132</v>
      </c>
      <c r="L16" s="38" t="s">
        <v>255</v>
      </c>
      <c r="M16" s="37" t="s">
        <v>221</v>
      </c>
    </row>
    <row r="17" spans="1:13" ht="42" customHeight="1" x14ac:dyDescent="0.3">
      <c r="A17" s="37" t="s">
        <v>256</v>
      </c>
      <c r="B17" s="37" t="s">
        <v>257</v>
      </c>
      <c r="C17" s="37" t="s">
        <v>258</v>
      </c>
      <c r="D17" s="37" t="s">
        <v>259</v>
      </c>
      <c r="E17" s="37" t="s">
        <v>260</v>
      </c>
      <c r="F17" s="37" t="s">
        <v>261</v>
      </c>
      <c r="G17" s="37" t="s">
        <v>262</v>
      </c>
      <c r="H17" s="37" t="s">
        <v>263</v>
      </c>
      <c r="I17" s="37" t="s">
        <v>264</v>
      </c>
      <c r="J17" s="37" t="s">
        <v>265</v>
      </c>
      <c r="K17" s="37" t="s">
        <v>132</v>
      </c>
      <c r="L17" s="37" t="s">
        <v>266</v>
      </c>
      <c r="M17" s="37" t="s">
        <v>179</v>
      </c>
    </row>
    <row r="18" spans="1:13" ht="42" customHeight="1" x14ac:dyDescent="0.3">
      <c r="A18" s="37" t="s">
        <v>267</v>
      </c>
      <c r="B18" s="37" t="s">
        <v>257</v>
      </c>
      <c r="C18" s="37" t="s">
        <v>258</v>
      </c>
      <c r="D18" s="37" t="s">
        <v>268</v>
      </c>
      <c r="E18" s="37" t="s">
        <v>269</v>
      </c>
      <c r="F18" s="37" t="s">
        <v>270</v>
      </c>
      <c r="G18" s="37" t="s">
        <v>271</v>
      </c>
      <c r="H18" s="37" t="s">
        <v>272</v>
      </c>
      <c r="I18" s="37" t="s">
        <v>273</v>
      </c>
      <c r="J18" s="37" t="s">
        <v>274</v>
      </c>
      <c r="K18" s="37" t="s">
        <v>132</v>
      </c>
      <c r="L18" s="37" t="s">
        <v>275</v>
      </c>
      <c r="M18" s="37" t="s">
        <v>179</v>
      </c>
    </row>
    <row r="19" spans="1:13" ht="42" customHeight="1" x14ac:dyDescent="0.3">
      <c r="A19" s="37" t="s">
        <v>276</v>
      </c>
      <c r="B19" s="37" t="s">
        <v>257</v>
      </c>
      <c r="C19" s="37" t="s">
        <v>258</v>
      </c>
      <c r="D19" s="37" t="s">
        <v>277</v>
      </c>
      <c r="E19" s="37" t="s">
        <v>278</v>
      </c>
      <c r="F19" s="37" t="s">
        <v>270</v>
      </c>
      <c r="G19" s="37" t="s">
        <v>279</v>
      </c>
      <c r="H19" s="37" t="s">
        <v>280</v>
      </c>
      <c r="I19" s="37" t="s">
        <v>281</v>
      </c>
      <c r="J19" s="38" t="s">
        <v>282</v>
      </c>
      <c r="K19" s="37" t="s">
        <v>246</v>
      </c>
      <c r="L19" s="37" t="s">
        <v>275</v>
      </c>
      <c r="M19" s="37" t="s">
        <v>179</v>
      </c>
    </row>
    <row r="20" spans="1:13" ht="42" customHeight="1" x14ac:dyDescent="0.3">
      <c r="A20" s="37" t="s">
        <v>283</v>
      </c>
      <c r="B20" s="37" t="s">
        <v>257</v>
      </c>
      <c r="C20" s="37" t="s">
        <v>258</v>
      </c>
      <c r="D20" s="37" t="s">
        <v>284</v>
      </c>
      <c r="E20" s="37" t="s">
        <v>285</v>
      </c>
      <c r="F20" s="37" t="s">
        <v>286</v>
      </c>
      <c r="G20" s="37" t="s">
        <v>287</v>
      </c>
      <c r="H20" s="37" t="s">
        <v>288</v>
      </c>
      <c r="I20" s="37" t="s">
        <v>253</v>
      </c>
      <c r="J20" s="37" t="s">
        <v>289</v>
      </c>
      <c r="K20" s="37" t="s">
        <v>132</v>
      </c>
      <c r="L20" s="37" t="s">
        <v>275</v>
      </c>
      <c r="M20" s="37" t="s">
        <v>179</v>
      </c>
    </row>
    <row r="21" spans="1:13" ht="42" customHeight="1" x14ac:dyDescent="0.3">
      <c r="A21" s="37" t="s">
        <v>290</v>
      </c>
      <c r="B21" s="37" t="s">
        <v>257</v>
      </c>
      <c r="C21" s="37" t="s">
        <v>258</v>
      </c>
      <c r="D21" s="37" t="s">
        <v>291</v>
      </c>
      <c r="E21" s="37" t="s">
        <v>292</v>
      </c>
      <c r="F21" s="37" t="s">
        <v>293</v>
      </c>
      <c r="G21" s="37" t="s">
        <v>294</v>
      </c>
      <c r="H21" s="37" t="s">
        <v>295</v>
      </c>
      <c r="I21" s="37" t="s">
        <v>253</v>
      </c>
      <c r="J21" s="37" t="s">
        <v>296</v>
      </c>
      <c r="K21" s="37" t="s">
        <v>132</v>
      </c>
      <c r="L21" s="37" t="s">
        <v>275</v>
      </c>
      <c r="M21" s="37" t="s">
        <v>179</v>
      </c>
    </row>
    <row r="22" spans="1:13" ht="42" customHeight="1" x14ac:dyDescent="0.3">
      <c r="A22" s="37" t="s">
        <v>297</v>
      </c>
      <c r="B22" s="37" t="s">
        <v>298</v>
      </c>
      <c r="C22" s="37" t="s">
        <v>299</v>
      </c>
      <c r="D22" s="37" t="s">
        <v>23</v>
      </c>
      <c r="E22" s="37" t="s">
        <v>300</v>
      </c>
      <c r="F22" s="37" t="s">
        <v>301</v>
      </c>
      <c r="G22" s="37" t="s">
        <v>302</v>
      </c>
      <c r="H22" s="37" t="s">
        <v>303</v>
      </c>
      <c r="I22" s="37" t="s">
        <v>304</v>
      </c>
      <c r="J22" s="37" t="s">
        <v>305</v>
      </c>
      <c r="K22" s="37" t="s">
        <v>132</v>
      </c>
      <c r="L22" s="37" t="s">
        <v>306</v>
      </c>
      <c r="M22" s="37" t="s">
        <v>134</v>
      </c>
    </row>
    <row r="23" spans="1:13" ht="42" customHeight="1" x14ac:dyDescent="0.3">
      <c r="A23" s="37" t="s">
        <v>307</v>
      </c>
      <c r="B23" s="37" t="s">
        <v>298</v>
      </c>
      <c r="C23" s="37" t="s">
        <v>299</v>
      </c>
      <c r="D23" s="37" t="s">
        <v>308</v>
      </c>
      <c r="E23" s="37" t="s">
        <v>309</v>
      </c>
      <c r="F23" s="37" t="s">
        <v>310</v>
      </c>
      <c r="G23" s="37" t="s">
        <v>302</v>
      </c>
      <c r="H23" s="37" t="s">
        <v>311</v>
      </c>
      <c r="I23" s="37" t="s">
        <v>312</v>
      </c>
      <c r="J23" s="37" t="s">
        <v>305</v>
      </c>
      <c r="K23" s="37" t="s">
        <v>132</v>
      </c>
      <c r="L23" s="37" t="s">
        <v>306</v>
      </c>
      <c r="M23" s="37" t="s">
        <v>134</v>
      </c>
    </row>
    <row r="24" spans="1:13" ht="42" customHeight="1" x14ac:dyDescent="0.3">
      <c r="A24" s="37" t="s">
        <v>313</v>
      </c>
      <c r="B24" s="37" t="s">
        <v>298</v>
      </c>
      <c r="C24" s="37" t="s">
        <v>314</v>
      </c>
      <c r="D24" s="37" t="s">
        <v>40</v>
      </c>
      <c r="E24" s="37" t="s">
        <v>315</v>
      </c>
      <c r="F24" s="37" t="s">
        <v>316</v>
      </c>
      <c r="G24" s="37" t="s">
        <v>317</v>
      </c>
      <c r="H24" s="37" t="s">
        <v>318</v>
      </c>
      <c r="I24" s="37" t="s">
        <v>319</v>
      </c>
      <c r="J24" s="37" t="s">
        <v>320</v>
      </c>
      <c r="K24" s="37" t="s">
        <v>132</v>
      </c>
      <c r="L24" s="37" t="s">
        <v>321</v>
      </c>
      <c r="M24" s="37" t="s">
        <v>322</v>
      </c>
    </row>
    <row r="25" spans="1:13" ht="42" customHeight="1" x14ac:dyDescent="0.3">
      <c r="A25" s="37" t="s">
        <v>323</v>
      </c>
      <c r="B25" s="37" t="s">
        <v>298</v>
      </c>
      <c r="C25" s="37" t="s">
        <v>324</v>
      </c>
      <c r="D25" s="37" t="s">
        <v>325</v>
      </c>
      <c r="E25" s="37" t="s">
        <v>326</v>
      </c>
      <c r="F25" s="37" t="s">
        <v>327</v>
      </c>
      <c r="G25" s="37" t="s">
        <v>328</v>
      </c>
      <c r="H25" s="37" t="s">
        <v>329</v>
      </c>
      <c r="I25" s="37" t="s">
        <v>330</v>
      </c>
      <c r="J25" s="37" t="s">
        <v>331</v>
      </c>
      <c r="K25" s="37" t="s">
        <v>132</v>
      </c>
      <c r="L25" s="38" t="s">
        <v>95</v>
      </c>
      <c r="M25" s="37" t="s">
        <v>332</v>
      </c>
    </row>
    <row r="26" spans="1:13" ht="42" customHeight="1" x14ac:dyDescent="0.3">
      <c r="A26" s="37" t="s">
        <v>333</v>
      </c>
      <c r="B26" s="37" t="s">
        <v>298</v>
      </c>
      <c r="C26" s="37" t="s">
        <v>334</v>
      </c>
      <c r="D26" s="37" t="s">
        <v>335</v>
      </c>
      <c r="E26" s="37" t="s">
        <v>336</v>
      </c>
      <c r="F26" s="37" t="s">
        <v>337</v>
      </c>
      <c r="G26" s="37" t="s">
        <v>338</v>
      </c>
      <c r="H26" s="37" t="s">
        <v>339</v>
      </c>
      <c r="I26" s="38" t="s">
        <v>340</v>
      </c>
      <c r="J26" s="38" t="s">
        <v>341</v>
      </c>
      <c r="K26" s="37" t="s">
        <v>132</v>
      </c>
      <c r="L26" s="37" t="s">
        <v>342</v>
      </c>
      <c r="M26" s="37" t="s">
        <v>332</v>
      </c>
    </row>
    <row r="27" spans="1:13" ht="42" customHeight="1" x14ac:dyDescent="0.3">
      <c r="A27" s="37" t="s">
        <v>343</v>
      </c>
      <c r="B27" s="37" t="s">
        <v>76</v>
      </c>
      <c r="C27" s="37" t="s">
        <v>344</v>
      </c>
      <c r="D27" s="37" t="s">
        <v>345</v>
      </c>
      <c r="E27" s="37" t="s">
        <v>346</v>
      </c>
      <c r="F27" s="37" t="s">
        <v>347</v>
      </c>
      <c r="G27" s="37" t="s">
        <v>348</v>
      </c>
      <c r="H27" s="37" t="s">
        <v>349</v>
      </c>
      <c r="I27" s="37" t="s">
        <v>330</v>
      </c>
      <c r="J27" s="37" t="s">
        <v>350</v>
      </c>
      <c r="K27" s="37" t="s">
        <v>132</v>
      </c>
      <c r="L27" s="37" t="s">
        <v>351</v>
      </c>
      <c r="M27" s="37" t="s">
        <v>322</v>
      </c>
    </row>
    <row r="28" spans="1:13" ht="42" customHeight="1" x14ac:dyDescent="0.3">
      <c r="A28" s="37" t="s">
        <v>352</v>
      </c>
      <c r="B28" s="37" t="s">
        <v>76</v>
      </c>
      <c r="C28" s="37" t="s">
        <v>344</v>
      </c>
      <c r="D28" s="37" t="s">
        <v>353</v>
      </c>
      <c r="E28" s="37" t="s">
        <v>354</v>
      </c>
      <c r="F28" s="37" t="s">
        <v>347</v>
      </c>
      <c r="G28" s="37" t="s">
        <v>355</v>
      </c>
      <c r="H28" s="37" t="s">
        <v>356</v>
      </c>
      <c r="I28" s="37" t="s">
        <v>357</v>
      </c>
      <c r="J28" s="37" t="s">
        <v>358</v>
      </c>
      <c r="K28" s="37" t="s">
        <v>132</v>
      </c>
      <c r="L28" s="37" t="s">
        <v>351</v>
      </c>
      <c r="M28" s="37" t="s">
        <v>332</v>
      </c>
    </row>
    <row r="29" spans="1:13" ht="42" customHeight="1" x14ac:dyDescent="0.3">
      <c r="A29" s="37" t="s">
        <v>359</v>
      </c>
      <c r="B29" s="37" t="s">
        <v>76</v>
      </c>
      <c r="C29" s="37" t="s">
        <v>334</v>
      </c>
      <c r="D29" s="37" t="s">
        <v>360</v>
      </c>
      <c r="E29" s="37" t="s">
        <v>361</v>
      </c>
      <c r="F29" s="37" t="s">
        <v>362</v>
      </c>
      <c r="G29" s="37" t="s">
        <v>363</v>
      </c>
      <c r="H29" s="37" t="s">
        <v>364</v>
      </c>
      <c r="I29" s="37" t="s">
        <v>365</v>
      </c>
      <c r="J29" s="37" t="s">
        <v>331</v>
      </c>
      <c r="K29" s="37" t="s">
        <v>132</v>
      </c>
      <c r="L29" s="37" t="s">
        <v>366</v>
      </c>
      <c r="M29" s="37" t="s">
        <v>322</v>
      </c>
    </row>
    <row r="30" spans="1:13" ht="42" customHeight="1" x14ac:dyDescent="0.3">
      <c r="A30" s="37" t="s">
        <v>367</v>
      </c>
      <c r="B30" s="37" t="s">
        <v>76</v>
      </c>
      <c r="C30" s="37" t="s">
        <v>334</v>
      </c>
      <c r="D30" s="37" t="s">
        <v>368</v>
      </c>
      <c r="E30" s="37" t="s">
        <v>369</v>
      </c>
      <c r="F30" s="37" t="s">
        <v>370</v>
      </c>
      <c r="G30" s="37" t="s">
        <v>371</v>
      </c>
      <c r="H30" s="37" t="s">
        <v>372</v>
      </c>
      <c r="I30" s="37" t="s">
        <v>373</v>
      </c>
      <c r="J30" s="37" t="s">
        <v>331</v>
      </c>
      <c r="K30" s="37" t="s">
        <v>132</v>
      </c>
      <c r="L30" s="37" t="s">
        <v>374</v>
      </c>
      <c r="M30" s="37" t="s">
        <v>332</v>
      </c>
    </row>
    <row r="31" spans="1:13" ht="42" customHeight="1" x14ac:dyDescent="0.3">
      <c r="A31" s="37" t="s">
        <v>375</v>
      </c>
      <c r="B31" s="37" t="s">
        <v>76</v>
      </c>
      <c r="C31" s="37" t="s">
        <v>376</v>
      </c>
      <c r="D31" s="37" t="s">
        <v>377</v>
      </c>
      <c r="E31" s="37" t="s">
        <v>378</v>
      </c>
      <c r="F31" s="37" t="s">
        <v>379</v>
      </c>
      <c r="G31" s="37" t="s">
        <v>380</v>
      </c>
      <c r="H31" s="37" t="s">
        <v>381</v>
      </c>
      <c r="I31" s="38" t="s">
        <v>382</v>
      </c>
      <c r="J31" s="37" t="s">
        <v>383</v>
      </c>
      <c r="K31" s="37" t="s">
        <v>132</v>
      </c>
      <c r="L31" s="37" t="s">
        <v>384</v>
      </c>
      <c r="M31" s="37" t="s">
        <v>332</v>
      </c>
    </row>
    <row r="32" spans="1:13" ht="42" customHeight="1" x14ac:dyDescent="0.3">
      <c r="A32" s="37" t="s">
        <v>385</v>
      </c>
      <c r="B32" s="37" t="s">
        <v>386</v>
      </c>
      <c r="C32" s="37" t="s">
        <v>387</v>
      </c>
      <c r="D32" s="37" t="s">
        <v>388</v>
      </c>
      <c r="E32" s="37" t="s">
        <v>389</v>
      </c>
      <c r="F32" s="37" t="s">
        <v>390</v>
      </c>
      <c r="G32" s="37" t="s">
        <v>391</v>
      </c>
      <c r="H32" s="37" t="s">
        <v>392</v>
      </c>
      <c r="I32" s="37" t="s">
        <v>393</v>
      </c>
      <c r="J32" s="38" t="s">
        <v>394</v>
      </c>
      <c r="K32" s="37" t="s">
        <v>246</v>
      </c>
      <c r="L32" s="37" t="s">
        <v>395</v>
      </c>
      <c r="M32" s="37" t="s">
        <v>134</v>
      </c>
    </row>
    <row r="33" spans="1:13" ht="42" customHeight="1" x14ac:dyDescent="0.3">
      <c r="A33" s="37" t="s">
        <v>396</v>
      </c>
      <c r="B33" s="37" t="s">
        <v>386</v>
      </c>
      <c r="C33" s="37" t="s">
        <v>387</v>
      </c>
      <c r="D33" s="37" t="s">
        <v>397</v>
      </c>
      <c r="E33" s="37" t="s">
        <v>398</v>
      </c>
      <c r="F33" s="37" t="s">
        <v>399</v>
      </c>
      <c r="G33" s="37" t="s">
        <v>400</v>
      </c>
      <c r="H33" s="37" t="s">
        <v>392</v>
      </c>
      <c r="I33" s="37" t="s">
        <v>401</v>
      </c>
      <c r="J33" s="38" t="s">
        <v>402</v>
      </c>
      <c r="K33" s="37" t="s">
        <v>132</v>
      </c>
      <c r="L33" s="38" t="s">
        <v>403</v>
      </c>
      <c r="M33" s="37" t="s">
        <v>179</v>
      </c>
    </row>
    <row r="34" spans="1:13" ht="42" customHeight="1" x14ac:dyDescent="0.3">
      <c r="A34" s="37" t="s">
        <v>404</v>
      </c>
      <c r="B34" s="37" t="s">
        <v>386</v>
      </c>
      <c r="C34" s="37" t="s">
        <v>387</v>
      </c>
      <c r="D34" s="37" t="s">
        <v>405</v>
      </c>
      <c r="E34" s="37" t="s">
        <v>406</v>
      </c>
      <c r="F34" s="37" t="s">
        <v>407</v>
      </c>
      <c r="G34" s="37" t="s">
        <v>408</v>
      </c>
      <c r="H34" s="37" t="s">
        <v>409</v>
      </c>
      <c r="I34" s="37" t="s">
        <v>410</v>
      </c>
      <c r="J34" s="37" t="s">
        <v>411</v>
      </c>
      <c r="K34" s="37" t="s">
        <v>132</v>
      </c>
      <c r="L34" s="37" t="s">
        <v>395</v>
      </c>
      <c r="M34" s="37" t="s">
        <v>332</v>
      </c>
    </row>
    <row r="35" spans="1:13" ht="42" customHeight="1" x14ac:dyDescent="0.3">
      <c r="A35" s="37" t="s">
        <v>412</v>
      </c>
      <c r="B35" s="37" t="s">
        <v>386</v>
      </c>
      <c r="C35" s="37" t="s">
        <v>387</v>
      </c>
      <c r="D35" s="37" t="s">
        <v>413</v>
      </c>
      <c r="E35" s="37" t="s">
        <v>414</v>
      </c>
      <c r="F35" s="37" t="s">
        <v>415</v>
      </c>
      <c r="G35" s="37" t="s">
        <v>416</v>
      </c>
      <c r="H35" s="37" t="s">
        <v>417</v>
      </c>
      <c r="I35" s="37" t="s">
        <v>418</v>
      </c>
      <c r="J35" s="38" t="s">
        <v>419</v>
      </c>
      <c r="K35" s="37" t="s">
        <v>246</v>
      </c>
      <c r="L35" s="37" t="s">
        <v>395</v>
      </c>
      <c r="M35" s="37" t="s">
        <v>332</v>
      </c>
    </row>
    <row r="36" spans="1:13" ht="42" customHeight="1" x14ac:dyDescent="0.3">
      <c r="A36" s="37" t="s">
        <v>420</v>
      </c>
      <c r="B36" s="37" t="s">
        <v>386</v>
      </c>
      <c r="C36" s="37" t="s">
        <v>387</v>
      </c>
      <c r="D36" s="37" t="s">
        <v>421</v>
      </c>
      <c r="E36" s="37" t="s">
        <v>422</v>
      </c>
      <c r="F36" s="37" t="s">
        <v>423</v>
      </c>
      <c r="G36" s="37" t="s">
        <v>424</v>
      </c>
      <c r="H36" s="37" t="s">
        <v>425</v>
      </c>
      <c r="I36" s="37" t="s">
        <v>426</v>
      </c>
      <c r="J36" s="37" t="s">
        <v>427</v>
      </c>
      <c r="K36" s="37" t="s">
        <v>132</v>
      </c>
      <c r="L36" s="37" t="s">
        <v>428</v>
      </c>
      <c r="M36" s="37" t="s">
        <v>134</v>
      </c>
    </row>
  </sheetData>
  <autoFilter ref="A1:M36" xr:uid="{00000000-0009-0000-0000-000002000000}"/>
  <pageMargins left="0.25" right="0.25" top="0.5" bottom="0.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B8" sqref="B8"/>
    </sheetView>
  </sheetViews>
  <sheetFormatPr baseColWidth="10" defaultColWidth="8.7265625" defaultRowHeight="12.5" x14ac:dyDescent="0.25"/>
  <cols>
    <col min="1" max="1" width="14" style="36" customWidth="1"/>
    <col min="2" max="2" width="18" style="36" customWidth="1"/>
    <col min="3" max="3" width="14" style="36" customWidth="1"/>
    <col min="4" max="5" width="12" style="36" customWidth="1"/>
    <col min="6" max="6" width="22" style="36" customWidth="1"/>
    <col min="7" max="16384" width="8.7265625" style="36"/>
  </cols>
  <sheetData>
    <row r="1" spans="1:6" ht="18.649999999999999" customHeight="1" x14ac:dyDescent="0.3">
      <c r="A1" s="35" t="s">
        <v>68</v>
      </c>
      <c r="B1" s="35" t="s">
        <v>429</v>
      </c>
      <c r="C1" s="35" t="s">
        <v>430</v>
      </c>
      <c r="D1" s="35" t="s">
        <v>431</v>
      </c>
      <c r="E1" s="35" t="s">
        <v>432</v>
      </c>
      <c r="F1" s="35" t="s">
        <v>433</v>
      </c>
    </row>
    <row r="2" spans="1:6" x14ac:dyDescent="0.25">
      <c r="A2" s="39" t="s">
        <v>434</v>
      </c>
      <c r="B2" s="39">
        <f>COUNTIF('Matriz de pruebas'!B:B,"01")</f>
        <v>5</v>
      </c>
      <c r="C2" s="39">
        <f>COUNTIFS('Matriz de pruebas'!B:B,"01",'Matriz de pruebas'!K:K,"APROBADO")</f>
        <v>5</v>
      </c>
      <c r="D2" s="39">
        <f>COUNTIFS('Matriz de pruebas'!B:B,"01",'Matriz de pruebas'!K:K,"FALLIDO")</f>
        <v>0</v>
      </c>
      <c r="E2" s="39">
        <f>COUNTIFS('Matriz de pruebas'!B:B,"01",'Matriz de pruebas'!K:K,"PENDIENTE")</f>
        <v>0</v>
      </c>
      <c r="F2" s="39" t="str">
        <f t="shared" ref="F2:F8" si="0">IF(B2&gt;=5,"Sí","No")</f>
        <v>Sí</v>
      </c>
    </row>
    <row r="3" spans="1:6" x14ac:dyDescent="0.25">
      <c r="A3" s="39" t="s">
        <v>435</v>
      </c>
      <c r="B3" s="39">
        <f>COUNTIF('Matriz de pruebas'!B:B,"02")</f>
        <v>5</v>
      </c>
      <c r="C3" s="39">
        <f>COUNTIFS('Matriz de pruebas'!B:B,"02",'Matriz de pruebas'!K:K,"APROBADO")</f>
        <v>5</v>
      </c>
      <c r="D3" s="39">
        <f>COUNTIFS('Matriz de pruebas'!B:B,"02",'Matriz de pruebas'!K:K,"FALLIDO")</f>
        <v>0</v>
      </c>
      <c r="E3" s="39">
        <f>COUNTIFS('Matriz de pruebas'!B:B,"02",'Matriz de pruebas'!K:K,"PENDIENTE")</f>
        <v>0</v>
      </c>
      <c r="F3" s="39" t="str">
        <f t="shared" si="0"/>
        <v>Sí</v>
      </c>
    </row>
    <row r="4" spans="1:6" x14ac:dyDescent="0.25">
      <c r="A4" s="39" t="s">
        <v>436</v>
      </c>
      <c r="B4" s="39">
        <f>COUNTIF('Matriz de pruebas'!B:B,"03")</f>
        <v>5</v>
      </c>
      <c r="C4" s="39">
        <f>COUNTIFS('Matriz de pruebas'!B:B,"03",'Matriz de pruebas'!K:K,"APROBADO")</f>
        <v>4</v>
      </c>
      <c r="D4" s="39">
        <f>COUNTIFS('Matriz de pruebas'!B:B,"03",'Matriz de pruebas'!K:K,"FALLIDO")</f>
        <v>0</v>
      </c>
      <c r="E4" s="39">
        <f>COUNTIFS('Matriz de pruebas'!B:B,"03",'Matriz de pruebas'!K:K,"PENDIENTE")</f>
        <v>1</v>
      </c>
      <c r="F4" s="39" t="str">
        <f t="shared" si="0"/>
        <v>Sí</v>
      </c>
    </row>
    <row r="5" spans="1:6" x14ac:dyDescent="0.25">
      <c r="A5" s="39" t="s">
        <v>437</v>
      </c>
      <c r="B5" s="39">
        <f>COUNTIF('Matriz de pruebas'!B:B,"04")</f>
        <v>5</v>
      </c>
      <c r="C5" s="39">
        <f>COUNTIFS('Matriz de pruebas'!B:B,"04",'Matriz de pruebas'!K:K,"APROBADO")</f>
        <v>4</v>
      </c>
      <c r="D5" s="39">
        <f>COUNTIFS('Matriz de pruebas'!B:B,"04",'Matriz de pruebas'!K:K,"FALLIDO")</f>
        <v>0</v>
      </c>
      <c r="E5" s="39">
        <f>COUNTIFS('Matriz de pruebas'!B:B,"04",'Matriz de pruebas'!K:K,"PENDIENTE")</f>
        <v>1</v>
      </c>
      <c r="F5" s="39" t="str">
        <f t="shared" si="0"/>
        <v>Sí</v>
      </c>
    </row>
    <row r="6" spans="1:6" x14ac:dyDescent="0.25">
      <c r="A6" s="39" t="s">
        <v>438</v>
      </c>
      <c r="B6" s="39">
        <f>COUNTIF('Matriz de pruebas'!B:B,"05")</f>
        <v>5</v>
      </c>
      <c r="C6" s="39">
        <f>COUNTIFS('Matriz de pruebas'!B:B,"05",'Matriz de pruebas'!K:K,"APROBADO")</f>
        <v>5</v>
      </c>
      <c r="D6" s="39">
        <f>COUNTIFS('Matriz de pruebas'!B:B,"05",'Matriz de pruebas'!K:K,"FALLIDO")</f>
        <v>0</v>
      </c>
      <c r="E6" s="39">
        <f>COUNTIFS('Matriz de pruebas'!B:B,"05",'Matriz de pruebas'!K:K,"PENDIENTE")</f>
        <v>0</v>
      </c>
      <c r="F6" s="39" t="str">
        <f t="shared" si="0"/>
        <v>Sí</v>
      </c>
    </row>
    <row r="7" spans="1:6" x14ac:dyDescent="0.25">
      <c r="A7" s="39" t="s">
        <v>439</v>
      </c>
      <c r="B7" s="39">
        <f>COUNTIF('Matriz de pruebas'!B:B,"06")</f>
        <v>5</v>
      </c>
      <c r="C7" s="39">
        <f>COUNTIFS('Matriz de pruebas'!B:B,"06",'Matriz de pruebas'!K:K,"APROBADO")</f>
        <v>5</v>
      </c>
      <c r="D7" s="39">
        <f>COUNTIFS('Matriz de pruebas'!B:B,"06",'Matriz de pruebas'!K:K,"FALLIDO")</f>
        <v>0</v>
      </c>
      <c r="E7" s="39">
        <f>COUNTIFS('Matriz de pruebas'!B:B,"06",'Matriz de pruebas'!K:K,"PENDIENTE")</f>
        <v>0</v>
      </c>
      <c r="F7" s="39" t="str">
        <f t="shared" si="0"/>
        <v>Sí</v>
      </c>
    </row>
    <row r="8" spans="1:6" x14ac:dyDescent="0.25">
      <c r="A8" s="39" t="s">
        <v>440</v>
      </c>
      <c r="B8" s="39">
        <f>COUNTIF('Matriz de pruebas'!B:B,"07")</f>
        <v>5</v>
      </c>
      <c r="C8" s="39">
        <f>COUNTIFS('Matriz de pruebas'!B:B,"07",'Matriz de pruebas'!K:K,"APROBADO")</f>
        <v>3</v>
      </c>
      <c r="D8" s="39">
        <f>COUNTIFS('Matriz de pruebas'!B:B,"07",'Matriz de pruebas'!K:K,"FALLIDO")</f>
        <v>0</v>
      </c>
      <c r="E8" s="39">
        <f>COUNTIFS('Matriz de pruebas'!B:B,"07",'Matriz de pruebas'!K:K,"PENDIENTE")</f>
        <v>2</v>
      </c>
      <c r="F8" s="39" t="str">
        <f t="shared" si="0"/>
        <v>Sí</v>
      </c>
    </row>
  </sheetData>
  <autoFilter ref="A1:F8" xr:uid="{00000000-0009-0000-0000-000003000000}"/>
  <pageMargins left="0.25" right="0.25" top="0.5" bottom="0.5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tabSelected="1" workbookViewId="0">
      <selection activeCell="B3" sqref="B3"/>
    </sheetView>
  </sheetViews>
  <sheetFormatPr baseColWidth="10" defaultColWidth="8.7265625" defaultRowHeight="12.5" x14ac:dyDescent="0.25"/>
  <cols>
    <col min="1" max="1" width="24" style="36" customWidth="1"/>
    <col min="2" max="2" width="28" style="36" customWidth="1"/>
    <col min="3" max="3" width="10" style="36" customWidth="1"/>
    <col min="4" max="4" width="42" style="36" customWidth="1"/>
    <col min="5" max="5" width="14" style="36" customWidth="1"/>
    <col min="6" max="6" width="70" style="36" customWidth="1"/>
    <col min="7" max="16384" width="8.7265625" style="36"/>
  </cols>
  <sheetData>
    <row r="1" spans="1:6" ht="30" customHeight="1" x14ac:dyDescent="0.3">
      <c r="A1" s="35" t="s">
        <v>441</v>
      </c>
      <c r="B1" s="35" t="s">
        <v>442</v>
      </c>
      <c r="C1" s="35" t="s">
        <v>68</v>
      </c>
      <c r="D1" s="35" t="s">
        <v>66</v>
      </c>
      <c r="E1" s="35" t="s">
        <v>119</v>
      </c>
      <c r="F1" s="35" t="s">
        <v>120</v>
      </c>
    </row>
    <row r="2" spans="1:6" ht="42" customHeight="1" x14ac:dyDescent="0.25">
      <c r="A2" s="39" t="s">
        <v>134</v>
      </c>
      <c r="B2" s="39" t="s">
        <v>124</v>
      </c>
      <c r="C2" s="39" t="s">
        <v>123</v>
      </c>
      <c r="D2" s="39" t="s">
        <v>125</v>
      </c>
      <c r="E2" s="39" t="s">
        <v>132</v>
      </c>
      <c r="F2" s="38" t="s">
        <v>133</v>
      </c>
    </row>
    <row r="3" spans="1:6" ht="42" customHeight="1" x14ac:dyDescent="0.25">
      <c r="A3" s="39" t="s">
        <v>134</v>
      </c>
      <c r="B3" s="39" t="s">
        <v>124</v>
      </c>
      <c r="C3" s="39" t="s">
        <v>123</v>
      </c>
      <c r="D3" s="39" t="s">
        <v>136</v>
      </c>
      <c r="E3" s="39" t="s">
        <v>132</v>
      </c>
      <c r="F3" s="39" t="s">
        <v>143</v>
      </c>
    </row>
    <row r="4" spans="1:6" ht="42" customHeight="1" x14ac:dyDescent="0.25">
      <c r="A4" s="39" t="s">
        <v>134</v>
      </c>
      <c r="B4" s="39" t="s">
        <v>124</v>
      </c>
      <c r="C4" s="39" t="s">
        <v>123</v>
      </c>
      <c r="D4" s="39" t="s">
        <v>145</v>
      </c>
      <c r="E4" s="39" t="s">
        <v>132</v>
      </c>
      <c r="F4" s="39" t="s">
        <v>143</v>
      </c>
    </row>
    <row r="5" spans="1:6" ht="42" customHeight="1" x14ac:dyDescent="0.25">
      <c r="A5" s="39" t="s">
        <v>134</v>
      </c>
      <c r="B5" s="39" t="s">
        <v>124</v>
      </c>
      <c r="C5" s="39" t="s">
        <v>123</v>
      </c>
      <c r="D5" s="39" t="s">
        <v>153</v>
      </c>
      <c r="E5" s="39" t="s">
        <v>132</v>
      </c>
      <c r="F5" s="39" t="s">
        <v>160</v>
      </c>
    </row>
    <row r="6" spans="1:6" ht="42" customHeight="1" x14ac:dyDescent="0.25">
      <c r="A6" s="39" t="s">
        <v>134</v>
      </c>
      <c r="B6" s="39" t="s">
        <v>124</v>
      </c>
      <c r="C6" s="39" t="s">
        <v>123</v>
      </c>
      <c r="D6" s="39" t="s">
        <v>162</v>
      </c>
      <c r="E6" s="39" t="s">
        <v>132</v>
      </c>
      <c r="F6" s="39" t="s">
        <v>160</v>
      </c>
    </row>
    <row r="7" spans="1:6" ht="42" customHeight="1" x14ac:dyDescent="0.25">
      <c r="A7" s="39" t="s">
        <v>179</v>
      </c>
      <c r="B7" s="39" t="s">
        <v>170</v>
      </c>
      <c r="C7" s="39" t="s">
        <v>169</v>
      </c>
      <c r="D7" s="39" t="s">
        <v>171</v>
      </c>
      <c r="E7" s="39" t="s">
        <v>132</v>
      </c>
      <c r="F7" s="39" t="s">
        <v>178</v>
      </c>
    </row>
    <row r="8" spans="1:6" ht="42" customHeight="1" x14ac:dyDescent="0.25">
      <c r="A8" s="39" t="s">
        <v>179</v>
      </c>
      <c r="B8" s="39" t="s">
        <v>170</v>
      </c>
      <c r="C8" s="39" t="s">
        <v>169</v>
      </c>
      <c r="D8" s="39" t="s">
        <v>181</v>
      </c>
      <c r="E8" s="39" t="s">
        <v>132</v>
      </c>
      <c r="F8" s="39" t="s">
        <v>178</v>
      </c>
    </row>
    <row r="9" spans="1:6" ht="42" customHeight="1" x14ac:dyDescent="0.25">
      <c r="A9" s="39" t="s">
        <v>179</v>
      </c>
      <c r="B9" s="39" t="s">
        <v>170</v>
      </c>
      <c r="C9" s="39" t="s">
        <v>169</v>
      </c>
      <c r="D9" s="39" t="s">
        <v>188</v>
      </c>
      <c r="E9" s="39" t="s">
        <v>132</v>
      </c>
      <c r="F9" s="39" t="s">
        <v>178</v>
      </c>
    </row>
    <row r="10" spans="1:6" ht="42" customHeight="1" x14ac:dyDescent="0.25">
      <c r="A10" s="39" t="s">
        <v>179</v>
      </c>
      <c r="B10" s="39" t="s">
        <v>170</v>
      </c>
      <c r="C10" s="39" t="s">
        <v>169</v>
      </c>
      <c r="D10" s="39" t="s">
        <v>195</v>
      </c>
      <c r="E10" s="39" t="s">
        <v>132</v>
      </c>
      <c r="F10" s="39" t="s">
        <v>178</v>
      </c>
    </row>
    <row r="11" spans="1:6" ht="42" customHeight="1" x14ac:dyDescent="0.25">
      <c r="A11" s="39" t="s">
        <v>179</v>
      </c>
      <c r="B11" s="39" t="s">
        <v>170</v>
      </c>
      <c r="C11" s="39" t="s">
        <v>169</v>
      </c>
      <c r="D11" s="39" t="s">
        <v>203</v>
      </c>
      <c r="E11" s="39" t="s">
        <v>132</v>
      </c>
      <c r="F11" s="39" t="s">
        <v>178</v>
      </c>
    </row>
    <row r="12" spans="1:6" ht="42" customHeight="1" x14ac:dyDescent="0.25">
      <c r="A12" s="39" t="s">
        <v>221</v>
      </c>
      <c r="B12" s="39" t="s">
        <v>212</v>
      </c>
      <c r="C12" s="39" t="s">
        <v>211</v>
      </c>
      <c r="D12" s="39" t="s">
        <v>213</v>
      </c>
      <c r="E12" s="39" t="s">
        <v>132</v>
      </c>
      <c r="F12" s="39" t="s">
        <v>220</v>
      </c>
    </row>
    <row r="13" spans="1:6" ht="42" customHeight="1" x14ac:dyDescent="0.25">
      <c r="A13" s="39" t="s">
        <v>221</v>
      </c>
      <c r="B13" s="39" t="s">
        <v>212</v>
      </c>
      <c r="C13" s="39" t="s">
        <v>211</v>
      </c>
      <c r="D13" s="39" t="s">
        <v>223</v>
      </c>
      <c r="E13" s="39" t="s">
        <v>132</v>
      </c>
      <c r="F13" s="39" t="s">
        <v>230</v>
      </c>
    </row>
    <row r="14" spans="1:6" ht="42" customHeight="1" x14ac:dyDescent="0.25">
      <c r="A14" s="39" t="s">
        <v>221</v>
      </c>
      <c r="B14" s="39" t="s">
        <v>212</v>
      </c>
      <c r="C14" s="39" t="s">
        <v>211</v>
      </c>
      <c r="D14" s="39" t="s">
        <v>232</v>
      </c>
      <c r="E14" s="39" t="s">
        <v>132</v>
      </c>
      <c r="F14" s="39" t="s">
        <v>220</v>
      </c>
    </row>
    <row r="15" spans="1:6" ht="42" customHeight="1" x14ac:dyDescent="0.25">
      <c r="A15" s="39" t="s">
        <v>221</v>
      </c>
      <c r="B15" s="39" t="s">
        <v>212</v>
      </c>
      <c r="C15" s="39" t="s">
        <v>211</v>
      </c>
      <c r="D15" s="39" t="s">
        <v>239</v>
      </c>
      <c r="E15" s="39" t="s">
        <v>246</v>
      </c>
      <c r="F15" s="39" t="s">
        <v>220</v>
      </c>
    </row>
    <row r="16" spans="1:6" ht="42" customHeight="1" x14ac:dyDescent="0.25">
      <c r="A16" s="39" t="s">
        <v>221</v>
      </c>
      <c r="B16" s="39" t="s">
        <v>212</v>
      </c>
      <c r="C16" s="39" t="s">
        <v>211</v>
      </c>
      <c r="D16" s="39" t="s">
        <v>248</v>
      </c>
      <c r="E16" s="39" t="s">
        <v>132</v>
      </c>
      <c r="F16" s="38" t="s">
        <v>255</v>
      </c>
    </row>
    <row r="17" spans="1:6" ht="42" customHeight="1" x14ac:dyDescent="0.25">
      <c r="A17" s="39" t="s">
        <v>179</v>
      </c>
      <c r="B17" s="39" t="s">
        <v>258</v>
      </c>
      <c r="C17" s="39" t="s">
        <v>257</v>
      </c>
      <c r="D17" s="39" t="s">
        <v>259</v>
      </c>
      <c r="E17" s="39" t="s">
        <v>132</v>
      </c>
      <c r="F17" s="39" t="s">
        <v>266</v>
      </c>
    </row>
    <row r="18" spans="1:6" ht="42" customHeight="1" x14ac:dyDescent="0.25">
      <c r="A18" s="39" t="s">
        <v>179</v>
      </c>
      <c r="B18" s="39" t="s">
        <v>258</v>
      </c>
      <c r="C18" s="39" t="s">
        <v>257</v>
      </c>
      <c r="D18" s="39" t="s">
        <v>268</v>
      </c>
      <c r="E18" s="39" t="s">
        <v>132</v>
      </c>
      <c r="F18" s="39" t="s">
        <v>275</v>
      </c>
    </row>
    <row r="19" spans="1:6" ht="42" customHeight="1" x14ac:dyDescent="0.25">
      <c r="A19" s="39" t="s">
        <v>179</v>
      </c>
      <c r="B19" s="39" t="s">
        <v>258</v>
      </c>
      <c r="C19" s="39" t="s">
        <v>257</v>
      </c>
      <c r="D19" s="39" t="s">
        <v>277</v>
      </c>
      <c r="E19" s="39" t="s">
        <v>246</v>
      </c>
      <c r="F19" s="39" t="s">
        <v>275</v>
      </c>
    </row>
    <row r="20" spans="1:6" ht="42" customHeight="1" x14ac:dyDescent="0.25">
      <c r="A20" s="39" t="s">
        <v>179</v>
      </c>
      <c r="B20" s="39" t="s">
        <v>258</v>
      </c>
      <c r="C20" s="39" t="s">
        <v>257</v>
      </c>
      <c r="D20" s="39" t="s">
        <v>284</v>
      </c>
      <c r="E20" s="39" t="s">
        <v>132</v>
      </c>
      <c r="F20" s="39" t="s">
        <v>275</v>
      </c>
    </row>
    <row r="21" spans="1:6" ht="42" customHeight="1" x14ac:dyDescent="0.25">
      <c r="A21" s="39" t="s">
        <v>179</v>
      </c>
      <c r="B21" s="39" t="s">
        <v>258</v>
      </c>
      <c r="C21" s="39" t="s">
        <v>257</v>
      </c>
      <c r="D21" s="39" t="s">
        <v>291</v>
      </c>
      <c r="E21" s="39" t="s">
        <v>132</v>
      </c>
      <c r="F21" s="39" t="s">
        <v>275</v>
      </c>
    </row>
    <row r="22" spans="1:6" ht="42" customHeight="1" x14ac:dyDescent="0.25">
      <c r="A22" s="39" t="s">
        <v>134</v>
      </c>
      <c r="B22" s="39" t="s">
        <v>299</v>
      </c>
      <c r="C22" s="39" t="s">
        <v>298</v>
      </c>
      <c r="D22" s="39" t="s">
        <v>23</v>
      </c>
      <c r="E22" s="39" t="s">
        <v>132</v>
      </c>
      <c r="F22" s="39" t="s">
        <v>306</v>
      </c>
    </row>
    <row r="23" spans="1:6" ht="42" customHeight="1" x14ac:dyDescent="0.25">
      <c r="A23" s="39" t="s">
        <v>134</v>
      </c>
      <c r="B23" s="39" t="s">
        <v>299</v>
      </c>
      <c r="C23" s="39" t="s">
        <v>298</v>
      </c>
      <c r="D23" s="39" t="s">
        <v>308</v>
      </c>
      <c r="E23" s="39" t="s">
        <v>132</v>
      </c>
      <c r="F23" s="39" t="s">
        <v>306</v>
      </c>
    </row>
    <row r="24" spans="1:6" ht="42" customHeight="1" x14ac:dyDescent="0.25">
      <c r="A24" s="39" t="s">
        <v>322</v>
      </c>
      <c r="B24" s="39" t="s">
        <v>314</v>
      </c>
      <c r="C24" s="39" t="s">
        <v>298</v>
      </c>
      <c r="D24" s="39" t="s">
        <v>40</v>
      </c>
      <c r="E24" s="39" t="s">
        <v>132</v>
      </c>
      <c r="F24" s="39" t="s">
        <v>321</v>
      </c>
    </row>
    <row r="25" spans="1:6" ht="42" customHeight="1" x14ac:dyDescent="0.25">
      <c r="A25" s="39" t="s">
        <v>332</v>
      </c>
      <c r="B25" s="39" t="s">
        <v>324</v>
      </c>
      <c r="C25" s="39" t="s">
        <v>298</v>
      </c>
      <c r="D25" s="39" t="s">
        <v>325</v>
      </c>
      <c r="E25" s="39" t="s">
        <v>132</v>
      </c>
      <c r="F25" s="38" t="s">
        <v>95</v>
      </c>
    </row>
    <row r="26" spans="1:6" ht="42" customHeight="1" x14ac:dyDescent="0.25">
      <c r="A26" s="39" t="s">
        <v>332</v>
      </c>
      <c r="B26" s="39" t="s">
        <v>334</v>
      </c>
      <c r="C26" s="39" t="s">
        <v>298</v>
      </c>
      <c r="D26" s="39" t="s">
        <v>335</v>
      </c>
      <c r="E26" s="39" t="s">
        <v>132</v>
      </c>
      <c r="F26" s="39" t="s">
        <v>342</v>
      </c>
    </row>
    <row r="27" spans="1:6" ht="42" customHeight="1" x14ac:dyDescent="0.25">
      <c r="A27" s="39" t="s">
        <v>322</v>
      </c>
      <c r="B27" s="39" t="s">
        <v>344</v>
      </c>
      <c r="C27" s="39" t="s">
        <v>76</v>
      </c>
      <c r="D27" s="39" t="s">
        <v>345</v>
      </c>
      <c r="E27" s="39" t="s">
        <v>132</v>
      </c>
      <c r="F27" s="39" t="s">
        <v>351</v>
      </c>
    </row>
    <row r="28" spans="1:6" ht="42" customHeight="1" x14ac:dyDescent="0.25">
      <c r="A28" s="39" t="s">
        <v>332</v>
      </c>
      <c r="B28" s="39" t="s">
        <v>344</v>
      </c>
      <c r="C28" s="39" t="s">
        <v>76</v>
      </c>
      <c r="D28" s="39" t="s">
        <v>353</v>
      </c>
      <c r="E28" s="39" t="s">
        <v>132</v>
      </c>
      <c r="F28" s="39" t="s">
        <v>351</v>
      </c>
    </row>
    <row r="29" spans="1:6" ht="42" customHeight="1" x14ac:dyDescent="0.25">
      <c r="A29" s="39" t="s">
        <v>322</v>
      </c>
      <c r="B29" s="39" t="s">
        <v>334</v>
      </c>
      <c r="C29" s="39" t="s">
        <v>76</v>
      </c>
      <c r="D29" s="39" t="s">
        <v>360</v>
      </c>
      <c r="E29" s="39" t="s">
        <v>132</v>
      </c>
      <c r="F29" s="39" t="s">
        <v>366</v>
      </c>
    </row>
    <row r="30" spans="1:6" ht="42" customHeight="1" x14ac:dyDescent="0.25">
      <c r="A30" s="39" t="s">
        <v>332</v>
      </c>
      <c r="B30" s="39" t="s">
        <v>334</v>
      </c>
      <c r="C30" s="39" t="s">
        <v>76</v>
      </c>
      <c r="D30" s="39" t="s">
        <v>368</v>
      </c>
      <c r="E30" s="39" t="s">
        <v>132</v>
      </c>
      <c r="F30" s="39" t="s">
        <v>374</v>
      </c>
    </row>
    <row r="31" spans="1:6" ht="42" customHeight="1" x14ac:dyDescent="0.25">
      <c r="A31" s="39" t="s">
        <v>332</v>
      </c>
      <c r="B31" s="39" t="s">
        <v>376</v>
      </c>
      <c r="C31" s="39" t="s">
        <v>76</v>
      </c>
      <c r="D31" s="39" t="s">
        <v>377</v>
      </c>
      <c r="E31" s="39" t="s">
        <v>132</v>
      </c>
      <c r="F31" s="39" t="s">
        <v>384</v>
      </c>
    </row>
    <row r="32" spans="1:6" ht="42" customHeight="1" x14ac:dyDescent="0.25">
      <c r="A32" s="39" t="s">
        <v>134</v>
      </c>
      <c r="B32" s="39" t="s">
        <v>387</v>
      </c>
      <c r="C32" s="39" t="s">
        <v>386</v>
      </c>
      <c r="D32" s="39" t="s">
        <v>388</v>
      </c>
      <c r="E32" s="39" t="s">
        <v>246</v>
      </c>
      <c r="F32" s="39" t="s">
        <v>395</v>
      </c>
    </row>
    <row r="33" spans="1:6" ht="42" customHeight="1" x14ac:dyDescent="0.25">
      <c r="A33" s="39" t="s">
        <v>179</v>
      </c>
      <c r="B33" s="39" t="s">
        <v>387</v>
      </c>
      <c r="C33" s="39" t="s">
        <v>386</v>
      </c>
      <c r="D33" s="39" t="s">
        <v>397</v>
      </c>
      <c r="E33" s="39" t="s">
        <v>132</v>
      </c>
      <c r="F33" s="38" t="s">
        <v>403</v>
      </c>
    </row>
    <row r="34" spans="1:6" ht="42" customHeight="1" x14ac:dyDescent="0.25">
      <c r="A34" s="39" t="s">
        <v>332</v>
      </c>
      <c r="B34" s="39" t="s">
        <v>387</v>
      </c>
      <c r="C34" s="39" t="s">
        <v>386</v>
      </c>
      <c r="D34" s="39" t="s">
        <v>405</v>
      </c>
      <c r="E34" s="39" t="s">
        <v>132</v>
      </c>
      <c r="F34" s="39" t="s">
        <v>395</v>
      </c>
    </row>
    <row r="35" spans="1:6" ht="42" customHeight="1" x14ac:dyDescent="0.25">
      <c r="A35" s="39" t="s">
        <v>332</v>
      </c>
      <c r="B35" s="39" t="s">
        <v>387</v>
      </c>
      <c r="C35" s="39" t="s">
        <v>386</v>
      </c>
      <c r="D35" s="39" t="s">
        <v>413</v>
      </c>
      <c r="E35" s="39" t="s">
        <v>246</v>
      </c>
      <c r="F35" s="39" t="s">
        <v>395</v>
      </c>
    </row>
    <row r="36" spans="1:6" ht="42" customHeight="1" x14ac:dyDescent="0.25">
      <c r="A36" s="39" t="s">
        <v>134</v>
      </c>
      <c r="B36" s="39" t="s">
        <v>387</v>
      </c>
      <c r="C36" s="39" t="s">
        <v>386</v>
      </c>
      <c r="D36" s="39" t="s">
        <v>421</v>
      </c>
      <c r="E36" s="39" t="s">
        <v>132</v>
      </c>
      <c r="F36" s="39" t="s">
        <v>428</v>
      </c>
    </row>
  </sheetData>
  <autoFilter ref="A1:F36" xr:uid="{00000000-0009-0000-0000-000004000000}"/>
  <pageMargins left="0.25" right="0.25" top="0.5" bottom="0.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Pruebas Req Func</vt:lpstr>
      <vt:lpstr>Trazabilidad Evidencia</vt:lpstr>
      <vt:lpstr>Matriz de pruebas</vt:lpstr>
      <vt:lpstr>Cobertura por iteración</vt:lpstr>
      <vt:lpstr>Trazabilidad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Leiva-PC</dc:creator>
  <cp:lastModifiedBy>Walter Rosales</cp:lastModifiedBy>
  <dcterms:created xsi:type="dcterms:W3CDTF">2018-08-04T00:26:18Z</dcterms:created>
  <dcterms:modified xsi:type="dcterms:W3CDTF">2026-09-13T17:05:26Z</dcterms:modified>
</cp:coreProperties>
</file>