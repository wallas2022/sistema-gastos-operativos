
<file path=[Content_Types].xml><?xml version="1.0" encoding="utf-8"?>
<ns0:Types xmlns:ns0="http://schemas.openxmlformats.org/package/2006/content-types">
  <ns0:Default ContentType="application/xml" Extension="xml"/>
  <ns0:Default ContentType="application/vnd.openxmlformats-package.relationships+xml" Extension="rels"/>
  <ns0:Override ContentType="application/vnd.openxmlformats-officedocument.spreadsheetml.worksheet+xml" PartName="/xl/worksheets/sheet1.xml"/>
  <ns0:Override ContentType="application/binary" PartName="/xl/metadata"/>
  <ns0:Override ContentType="application/vnd.openxmlformats-officedocument.spreadsheetml.sharedStrings+xml" PartName="/xl/sharedStrings.xml"/>
  <ns0:Override ContentType="application/vnd.openxmlformats-officedocument.drawing+xml" PartName="/xl/drawings/drawing1.xml"/>
  <ns0:Override ContentType="application/vnd.openxmlformats-package.core-properties+xml" PartName="/docProps/core.xml"/>
  <ns0:Override ContentType="application/vnd.openxmlformats-officedocument.spreadsheetml.externalLink+xml" PartName="/xl/externalLinks/externalLink1.xml"/>
  <ns0:Override ContentType="application/vnd.openxmlformats-officedocument.spreadsheetml.styles+xml" PartName="/xl/styles.xml"/>
  <ns0:Override ContentType="application/vnd.openxmlformats-officedocument.drawingml.chart+xml" PartName="/xl/charts/chart1.xml"/>
  <ns0:Override ContentType="application/vnd.openxmlformats-officedocument.drawingml.chart+xml" PartName="/xl/charts/chart2.xml"/>
  <ns0:Override ContentType="application/vnd.openxmlformats-officedocument.theme+xml" PartName="/xl/theme/theme1.xml"/>
  <ns0:Override ContentType="application/vnd.openxmlformats-officedocument.spreadsheetml.sheet.main+xml" PartName="/xl/workbook.xml"/>
  <ns0:Override PartName="/xl/worksheets/sheet2.xml" ContentType="application/vnd.openxmlformats-officedocument.spreadsheetml.worksheet+xml"/>
</ns0: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officeDocument/2006/relationships" xmlns:ns2="http://customooxmlschemas.google.com/">
  <workbookPr/>
  <sheets>
    <sheet state="visible" name="Pruebas Req Func" sheetId="1" ns1:id="rId4"/>
    <sheet name="Trazabilidad Evidencia" sheetId="2" ns1:id="rId7"/>
  </sheets>
  <externalReferences>
    <externalReference ns1:id="rId5"/>
  </externalReferences>
  <definedNames/>
  <calcPr calcMode="auto" fullCalcOnLoad="1" forceFullCalc="1"/>
  <extLst>
    <ext uri="GoogleSheetsCustomDataVersion2">
      <ns2:sheetsCustomData ns1:id="rId6" roundtripDataChecksum="w6tLT6DWkDh0UqWYnQZhs9qJ5FTHdANDtW8HyjISPes="/>
    </ext>
  </extLst>
</workbook>
</file>

<file path=xl/sharedStrings.xml><?xml version="1.0" encoding="utf-8"?>
<sst xmlns="http://schemas.openxmlformats.org/spreadsheetml/2006/main" count="52" uniqueCount="36">
  <si>
    <t>Resultados de Pruebas de Requerimientos Funcionales</t>
  </si>
  <si>
    <t>Proyecto:</t>
  </si>
  <si>
    <t>Analista Encargado del proyecto:</t>
  </si>
  <si>
    <t>Pruebas realizadas por:</t>
  </si>
  <si>
    <t>Fecha de Inicio de Pruebas:</t>
  </si>
  <si>
    <t>No. Requerimiento</t>
  </si>
  <si>
    <t>Pruebas a Realizar</t>
  </si>
  <si>
    <t>Criterio de Aceptación</t>
  </si>
  <si>
    <t>Tiempo Estimado</t>
  </si>
  <si>
    <t>Fecha de prueba</t>
  </si>
  <si>
    <t>Prueba realizada</t>
  </si>
  <si>
    <t>Resultado Obtenido</t>
  </si>
  <si>
    <t>Observaciones</t>
  </si>
  <si>
    <t>Prueba Exitosa</t>
  </si>
  <si>
    <t>Req 001</t>
  </si>
  <si>
    <t>Ingreso de usuario</t>
  </si>
  <si>
    <t>Ingrese el usuario</t>
  </si>
  <si>
    <t>2 minutos</t>
  </si>
  <si>
    <t>NO</t>
  </si>
  <si>
    <t>SI</t>
  </si>
  <si>
    <t>Actualizacion de usuario</t>
  </si>
  <si>
    <t>Actualice usuario</t>
  </si>
  <si>
    <t>1 minutos</t>
  </si>
  <si>
    <t>Baja de usuario</t>
  </si>
  <si>
    <t>Baja al usuario</t>
  </si>
  <si>
    <t>1 minuto</t>
  </si>
  <si>
    <t>Req 002</t>
  </si>
  <si>
    <t>Consultar reporte</t>
  </si>
  <si>
    <t>Comentarios Adicionales</t>
  </si>
  <si>
    <t>% Pruebas Realizadas</t>
  </si>
  <si>
    <t>% Pruebas Exitosas</t>
  </si>
  <si>
    <t>No. de Pruebas</t>
  </si>
  <si>
    <t>Pruebas Realizadas:</t>
  </si>
  <si>
    <t>Pruebas Exitosas:</t>
  </si>
  <si>
    <t>Pruebas por Realizadas:</t>
  </si>
  <si>
    <t>Pruebas No Exitosas: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</si>
</sst>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Calibri"/>
    </font>
    <font/>
    <font>
      <b/>
      <sz val="10.0"/>
      <color theme="0"/>
      <name val="Arial"/>
    </font>
    <font>
      <sz val="10.0"/>
      <color theme="1"/>
      <name val="Arial"/>
    </font>
    <font>
      <sz val="10.0"/>
      <color theme="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23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/>
      <bottom/>
    </border>
    <border>
      <right/>
      <top/>
      <bottom/>
    </border>
    <border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Border="1" applyFont="1"/>
    <xf borderId="2" fillId="2" fontId="3" numFmtId="0" xfId="0" applyAlignment="1" applyBorder="1" applyFill="1" applyFont="1">
      <alignment horizontal="left"/>
    </xf>
    <xf borderId="3" fillId="0" fontId="2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left"/>
    </xf>
    <xf borderId="7" fillId="0" fontId="2" numFmtId="0" xfId="0" applyBorder="1" applyFont="1"/>
    <xf borderId="0" fillId="0" fontId="4" numFmtId="0" xfId="0" applyFont="1"/>
    <xf borderId="8" fillId="0" fontId="4" numFmtId="0" xfId="0" applyBorder="1" applyFont="1"/>
    <xf borderId="9" fillId="2" fontId="3" numFmtId="0" xfId="0" applyAlignment="1" applyBorder="1" applyFont="1">
      <alignment horizontal="left"/>
    </xf>
    <xf borderId="10" fillId="0" fontId="2" numFmtId="0" xfId="0" applyBorder="1" applyFont="1"/>
    <xf borderId="11" fillId="2" fontId="3" numFmtId="0" xfId="0" applyAlignment="1" applyBorder="1" applyFont="1">
      <alignment horizontal="left"/>
    </xf>
    <xf borderId="12" fillId="0" fontId="2" numFmtId="0" xfId="0" applyBorder="1" applyFont="1"/>
    <xf borderId="1" fillId="0" fontId="4" numFmtId="0" xfId="0" applyBorder="1" applyFont="1"/>
    <xf borderId="13" fillId="0" fontId="4" numFmtId="0" xfId="0" applyBorder="1" applyFont="1"/>
    <xf borderId="14" fillId="2" fontId="3" numFmtId="0" xfId="0" applyAlignment="1" applyBorder="1" applyFont="1">
      <alignment horizontal="center" shrinkToFit="0" wrapText="1"/>
    </xf>
    <xf borderId="15" fillId="2" fontId="3" numFmtId="0" xfId="0" applyAlignment="1" applyBorder="1" applyFont="1">
      <alignment horizontal="center" shrinkToFit="0" wrapText="1"/>
    </xf>
    <xf borderId="16" fillId="2" fontId="3" numFmtId="0" xfId="0" applyAlignment="1" applyBorder="1" applyFont="1">
      <alignment horizontal="center" shrinkToFit="0" wrapText="1"/>
    </xf>
    <xf borderId="17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readingOrder="0"/>
    </xf>
    <xf borderId="18" fillId="0" fontId="2" numFmtId="0" xfId="0" applyBorder="1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8" fillId="0" fontId="4" numFmtId="0" xfId="0" applyAlignment="1" applyBorder="1" applyFont="1">
      <alignment horizontal="center"/>
    </xf>
    <xf borderId="19" fillId="0" fontId="2" numFmtId="0" xfId="0" applyBorder="1" applyFont="1"/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13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17" fillId="0" fontId="4" numFmtId="0" xfId="0" applyAlignment="1" applyBorder="1" applyFont="1">
      <alignment horizontal="center"/>
    </xf>
    <xf borderId="20" fillId="2" fontId="5" numFmtId="0" xfId="0" applyBorder="1" applyFont="1"/>
    <xf borderId="21" fillId="2" fontId="5" numFmtId="0" xfId="0" applyBorder="1" applyFont="1"/>
    <xf borderId="22" fillId="2" fontId="5" numFmtId="0" xfId="0" applyBorder="1" applyFont="1"/>
    <xf borderId="0" fillId="0" fontId="4" numFmtId="0" xfId="0" applyAlignment="1" applyFont="1">
      <alignment horizontal="left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sharedStrings" Target="sharedStrings.xml" /><ns0:Relationship Id="rId4" Type="http://schemas.openxmlformats.org/officeDocument/2006/relationships/worksheet" Target="worksheets/sheet1.xml" /><ns0:Relationship Id="rId5" Type="http://schemas.openxmlformats.org/officeDocument/2006/relationships/externalLink" Target="externalLinks/externalLink1.xml" /><ns0:Relationship Id="rId6" Type="http://customschemas.google.com/relationships/workbookmetadata" Target="metadata" /><ns0:Relationship Id="rId7" Type="http://schemas.openxmlformats.org/officeDocument/2006/relationships/worksheet" Target="worksheets/sheet2.xml" /></ns0: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'Pruebas Req Func'!$A$25:$A$26</c:f>
            </c:strRef>
          </c:cat>
          <c:val>
            <c:numRef>
              <c:f>'Pruebas Req Func'!$C$25:$C$26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'Pruebas Req Func'!$F$25:$F$26</c:f>
            </c:strRef>
          </c:cat>
          <c:val>
            <c:numRef>
              <c:f>'Pruebas Req Func'!$H$25:$H$26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28</xdr:row>
      <xdr:rowOff>9525</xdr:rowOff>
    </xdr:from>
    <xdr:ext cx="3552825" cy="2057400"/>
    <xdr:graphicFrame>
      <xdr:nvGraphicFramePr>
        <xdr:cNvPr id="72572468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1028700</xdr:colOff>
      <xdr:row>27</xdr:row>
      <xdr:rowOff>123825</xdr:rowOff>
    </xdr:from>
    <xdr:ext cx="3924300" cy="2085975"/>
    <xdr:graphicFrame>
      <xdr:nvGraphicFramePr>
        <xdr:cNvPr id="62591705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Public/Documents/UMG/Cursos/Aseguramiento%20de%20Calidad%20del%20Software%202018/Documentacion/Proyectos/GST-IN-RE-18%20Resultados%20de%20Pruebas%20de%20Requerimientos%20Funcional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uebas Req Func"/>
      <sheetName val="Interfaz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5.75"/>
    <col customWidth="1" min="3" max="4" width="14.25"/>
    <col customWidth="1" min="5" max="6" width="15.88"/>
    <col customWidth="1" min="7" max="7" width="18.25"/>
    <col customWidth="1" min="8" max="8" width="15.0"/>
    <col customWidth="1" min="9" max="9" width="12.88"/>
    <col customWidth="1" min="10" max="26" width="10.63"/>
  </cols>
  <sheetData>
    <row r="1" ht="12.75" customHeight="1">
      <c r="A1" s="1" t="s">
        <v>0</v>
      </c>
    </row>
    <row r="2" ht="12.75" customHeight="1">
      <c r="A2" s="2"/>
      <c r="B2" s="2"/>
      <c r="C2" s="2"/>
      <c r="D2" s="2"/>
      <c r="E2" s="2"/>
      <c r="F2" s="2"/>
      <c r="G2" s="2"/>
      <c r="H2" s="2"/>
      <c r="I2" s="2"/>
    </row>
    <row r="3" ht="12.75" customHeight="1">
      <c r="A3" s="3" t="s">
        <v>1</v>
      </c>
      <c r="B3" s="4"/>
      <c r="C3" s="5"/>
      <c r="D3" s="5"/>
      <c r="E3" s="5"/>
      <c r="F3" s="5"/>
      <c r="G3" s="5"/>
      <c r="H3" s="5"/>
      <c r="I3" s="6"/>
    </row>
    <row r="4" ht="12.75" customHeight="1">
      <c r="A4" s="7" t="s">
        <v>2</v>
      </c>
      <c r="B4" s="8"/>
      <c r="C4" s="9"/>
      <c r="D4" s="9"/>
      <c r="E4" s="9"/>
      <c r="F4" s="9"/>
      <c r="G4" s="9"/>
      <c r="H4" s="9"/>
      <c r="I4" s="10"/>
    </row>
    <row r="5" ht="12.75" customHeight="1">
      <c r="A5" s="11" t="s">
        <v>3</v>
      </c>
      <c r="B5" s="12"/>
      <c r="C5" s="9"/>
      <c r="D5" s="9"/>
      <c r="E5" s="9"/>
      <c r="F5" s="9"/>
      <c r="G5" s="9"/>
      <c r="H5" s="9"/>
      <c r="I5" s="10"/>
    </row>
    <row r="6" ht="12.75" customHeight="1">
      <c r="A6" s="13" t="s">
        <v>4</v>
      </c>
      <c r="B6" s="14"/>
      <c r="C6" s="15"/>
      <c r="D6" s="15"/>
      <c r="E6" s="15"/>
      <c r="F6" s="15"/>
      <c r="G6" s="15"/>
      <c r="H6" s="15"/>
      <c r="I6" s="16"/>
    </row>
    <row r="7" ht="12.75" customHeight="1">
      <c r="A7" s="9"/>
    </row>
    <row r="8" ht="12.75" customHeight="1">
      <c r="A8" s="17" t="s">
        <v>5</v>
      </c>
      <c r="B8" s="18" t="s">
        <v>6</v>
      </c>
      <c r="C8" s="18" t="s">
        <v>7</v>
      </c>
      <c r="D8" s="19" t="s">
        <v>8</v>
      </c>
      <c r="E8" s="18" t="s">
        <v>9</v>
      </c>
      <c r="F8" s="18" t="s">
        <v>10</v>
      </c>
      <c r="G8" s="18" t="s">
        <v>11</v>
      </c>
      <c r="H8" s="18" t="s">
        <v>12</v>
      </c>
      <c r="I8" s="19" t="s">
        <v>13</v>
      </c>
    </row>
    <row r="9" ht="12.75" customHeight="1">
      <c r="A9" s="20" t="inlineStr">
        <is>
          <t>REQ-PRES-001</t>
        </is>
      </c>
      <c r="B9" s="21" t="inlineStr">
        <is>
          <t>Presupuesto mensual suficiente</t>
        </is>
      </c>
      <c r="C9" s="22" t="inlineStr">
        <is>
          <t>Solicitud por 10,000 con disponibilidad de 20,000; debe validar y reservar el importe solicitado.</t>
        </is>
      </c>
      <c r="D9" s="22" t="inlineStr">
        <is>
          <t>Reserva válida por 10,000 y disponibilidad no negativa.</t>
        </is>
      </c>
      <c r="E9" s="5" t="inlineStr">
        <is>
          <t>No registrada</t>
        </is>
      </c>
      <c r="F9" s="23" t="inlineStr">
        <is>
          <t>Sí</t>
        </is>
      </c>
      <c r="G9" s="5" t="inlineStr">
        <is>
          <t>EXITOSA</t>
        </is>
      </c>
      <c r="H9" s="5" t="inlineStr">
        <is>
          <t>Prueba automatizada/integración de presupuesto. Evidencia técnica de validación y reserva.</t>
        </is>
      </c>
      <c r="I9" s="24" t="inlineStr">
        <is>
          <t>Sí</t>
        </is>
      </c>
    </row>
    <row r="10" ht="12.75" customHeight="1">
      <c r="A10" s="25" t="inlineStr">
        <is>
          <t/>
        </is>
      </c>
      <c r="B10" s="26" t="inlineStr">
        <is>
          <t>Presupuesto insuficiente</t>
        </is>
      </c>
      <c r="C10" s="27" t="inlineStr">
        <is>
          <t>Solicitud por 10,000 con presupuesto mensual de 5,000.</t>
        </is>
      </c>
      <c r="D10" s="27" t="inlineStr">
        <is>
          <t>La solicitud debe bloquearse o rechazarse sin reserva inválida.</t>
        </is>
      </c>
      <c r="E10" s="9" t="inlineStr">
        <is>
          <t>No registrada</t>
        </is>
      </c>
      <c r="F10" s="28" t="inlineStr">
        <is>
          <t>Sí</t>
        </is>
      </c>
      <c r="G10" s="9" t="inlineStr">
        <is>
          <t>EXITOSA</t>
        </is>
      </c>
      <c r="H10" s="9" t="inlineStr">
        <is>
          <t>Prueba automatizada de regla presupuestaria negativa; no corresponde a prueba manual.</t>
        </is>
      </c>
      <c r="I10" s="29" t="inlineStr">
        <is>
          <t>Sí</t>
        </is>
      </c>
    </row>
    <row r="11" ht="12.75" customHeight="1">
      <c r="A11" s="30" t="inlineStr">
        <is>
          <t/>
        </is>
      </c>
      <c r="B11" s="31" t="inlineStr">
        <is>
          <t>Solicitud, reserva y aprobación</t>
        </is>
      </c>
      <c r="C11" s="32" t="inlineStr">
        <is>
          <t>Ejecutar solicitud, validación presupuestaria, reserva y aprobación mediante servicios reales.</t>
        </is>
      </c>
      <c r="D11" s="32" t="inlineStr">
        <is>
          <t>Solicitud APROBADA y reserva EXECUTED, sin alterar estados por SQL.</t>
        </is>
      </c>
      <c r="E11" s="15" t="inlineStr">
        <is>
          <t>No registrada</t>
        </is>
      </c>
      <c r="F11" s="33" t="inlineStr">
        <is>
          <t>Sí</t>
        </is>
      </c>
      <c r="G11" s="15" t="inlineStr">
        <is>
          <t>EXITOSA</t>
        </is>
      </c>
      <c r="H11" s="15" t="inlineStr">
        <is>
          <t>Evidencia de integración/E2E contra PostgreSQL.</t>
        </is>
      </c>
      <c r="I11" s="34" t="inlineStr">
        <is>
          <t>Sí</t>
        </is>
      </c>
    </row>
    <row r="12" ht="12.75" customHeight="1">
      <c r="A12" s="20" t="inlineStr">
        <is>
          <t>REQ-PAGO-004</t>
        </is>
      </c>
      <c r="B12" s="21" t="inlineStr">
        <is>
          <t>Pago de solicitud aprobada</t>
        </is>
      </c>
      <c r="C12" s="5" t="inlineStr">
        <is>
          <t>Registrar pago autorizado de 10,000 para una solicitud APROBADA.</t>
        </is>
      </c>
      <c r="D12" s="5" t="inlineStr">
        <is>
          <t>Pago persistido con estado PAGADO, importe y moneda correctos. Pago documentado en E2E con paymentId 4ffb87de-f5f3-4a0d-af3a-26b203027841.</t>
        </is>
      </c>
      <c r="E12" s="5" t="inlineStr">
        <is>
          <t>No registrada</t>
        </is>
      </c>
      <c r="F12" s="23" t="inlineStr">
        <is>
          <t>Sí</t>
        </is>
      </c>
      <c r="G12" s="5" t="inlineStr">
        <is>
          <t>EXITOSA</t>
        </is>
      </c>
      <c r="H12" s="5" t="inlineStr">
        <is>
          <t>Prueba de integración/E2E; evidencia PostgreSQL y MinIO según el flujo documentado.</t>
        </is>
      </c>
      <c r="I12" s="35" t="inlineStr">
        <is>
          <t>Sí</t>
        </is>
      </c>
    </row>
    <row r="13" ht="12.75" customHeight="1">
      <c r="A13" s="25" t="inlineStr">
        <is>
          <t/>
        </is>
      </c>
      <c r="B13" s="28" t="inlineStr">
        <is>
          <t>Documento OCR elegible</t>
        </is>
      </c>
      <c r="C13" s="9" t="inlineStr">
        <is>
          <t>Asociar documento OCR confirmado y elegible a la liquidación con autorización OCR_VIEW_COMPANY.</t>
        </is>
      </c>
      <c r="D13" s="9" t="inlineStr">
        <is>
          <t>Documento persistido, de la empresa correcta y usedInSettlement=true. DocumentId: dd0ae3bc-dcad-4517-9241-50e748da23d2.</t>
        </is>
      </c>
      <c r="E13" s="9" t="inlineStr">
        <is>
          <t>No registrada</t>
        </is>
      </c>
      <c r="F13" s="28" t="inlineStr">
        <is>
          <t>Sí</t>
        </is>
      </c>
      <c r="G13" s="9" t="inlineStr">
        <is>
          <t>EXITOSA</t>
        </is>
      </c>
      <c r="H13" s="9" t="inlineStr">
        <is>
          <t>E2E PostgreSQL con autorización real y asociación documental.</t>
        </is>
      </c>
      <c r="I13" s="29" t="inlineStr">
        <is>
          <t>Sí</t>
        </is>
      </c>
    </row>
    <row r="14" ht="12.75" customHeight="1">
      <c r="A14" s="30" t="inlineStr">
        <is>
          <t/>
        </is>
      </c>
      <c r="B14" s="33" t="inlineStr">
        <is>
          <t>Liquidación sin reintegro hasta certificación</t>
        </is>
      </c>
      <c r="C14" s="15" t="inlineStr">
        <is>
          <t>Conciliar pago 10,000, documentos 10,000 y reintegro 0; aprobar, cerrar y certificar.</t>
        </is>
      </c>
      <c r="D14" s="15" t="inlineStr">
        <is>
          <t>Diferencia 0, balance CUADRADA, estado CERRADA y certificación CERTIFICADA. Request 9c24940d-4e4b-4bcf-b1ca-c892af67f4c1; liquidación 44fcaabc-f45b-4705-b569-03334b4500af; código LIQ-2026-00008.</t>
        </is>
      </c>
      <c r="E14" s="15" t="inlineStr">
        <is>
          <t>No registrada</t>
        </is>
      </c>
      <c r="F14" s="33" t="inlineStr">
        <is>
          <t>Sí</t>
        </is>
      </c>
      <c r="G14" s="15" t="inlineStr">
        <is>
          <t>EXITOSA</t>
        </is>
      </c>
      <c r="H14" s="15" t="inlineStr">
        <is>
          <t>E2E real contra PostgreSQL; reservationId 314ee3f3-ac82-4f65-9ba7-fda785cfd685 y paymentId documentado.</t>
        </is>
      </c>
      <c r="I14" s="34" t="inlineStr">
        <is>
          <t>Sí</t>
        </is>
      </c>
    </row>
    <row r="15" ht="12.75" customHeight="1">
      <c r="A15" s="36" t="inlineStr">
        <is>
          <t>REQ-REF-007</t>
        </is>
      </c>
      <c r="B15" s="23" t="inlineStr">
        <is>
          <t>Liquidación con reintegro</t>
        </is>
      </c>
      <c r="C15" s="5" t="inlineStr">
        <is>
          <t>Conciliar pago 10,000, documentos 8,500 y registrar reintegro validado de 1,500.</t>
        </is>
      </c>
      <c r="D15" s="5" t="inlineStr">
        <is>
          <t>Diferencia 0, balance CUADRADA, liquidación CERRADA y CERTIFICADA.</t>
        </is>
      </c>
      <c r="E15" s="5" t="inlineStr">
        <is>
          <t>No registrada</t>
        </is>
      </c>
      <c r="F15" s="23" t="inlineStr">
        <is>
          <t>Sí</t>
        </is>
      </c>
      <c r="G15" s="5" t="inlineStr">
        <is>
          <t>EXITOSA</t>
        </is>
      </c>
      <c r="H15" s="5" t="inlineStr">
        <is>
          <t>E2E con reintegro documentado en la evidencia de Iteración 05.8; identificadores no disponibles en el archivo fuente.</t>
        </is>
      </c>
      <c r="I15" s="35" t="inlineStr">
        <is>
          <t>Sí</t>
        </is>
      </c>
    </row>
    <row r="16" ht="12.75" customHeight="1">
      <c r="A16" s="25" t="inlineStr">
        <is>
          <t/>
        </is>
      </c>
      <c r="B16" s="9" t="inlineStr">
        <is>
          <t>Numeración concurrente de liquidaciones</t>
        </is>
      </c>
      <c r="C16" s="9" t="inlineStr">
        <is>
          <t>Crear cinco liquidaciones concurrentes para el mismo ejercicio fiscal.</t>
        </is>
      </c>
      <c r="D16" s="9" t="inlineStr">
        <is>
          <t>Cinco códigos únicos, sin duplicados y con integridad transaccional.</t>
        </is>
      </c>
      <c r="E16" s="9" t="inlineStr">
        <is>
          <t>No registrada</t>
        </is>
      </c>
      <c r="F16" s="28" t="inlineStr">
        <is>
          <t>Sí</t>
        </is>
      </c>
      <c r="G16" s="9" t="inlineStr">
        <is>
          <t>EXITOSA</t>
        </is>
      </c>
      <c r="H16" s="9" t="inlineStr">
        <is>
          <t>Primera ejecución: NO EXITOSA por P2034 bajo Serializable. Corrección: reintentos acotados para P2034 conservando Serializable, advisory lock y UNIQUE. Reprueba EXITOSA: LIQ-2026-00287 a LIQ-2026-00291. Evidencia de concurrencia PostgreSQL.</t>
        </is>
      </c>
      <c r="I16" s="29" t="inlineStr">
        <is>
          <t>Sí</t>
        </is>
      </c>
    </row>
    <row r="17" ht="12.75" customHeight="1">
      <c r="A17" s="30" t="inlineStr">
        <is>
          <t/>
        </is>
      </c>
      <c r="B17" s="15" t="inlineStr">
        <is>
          <t>Controles concurrentes e inmutabilidad</t>
        </is>
      </c>
      <c r="C17" s="15" t="inlineStr">
        <is>
          <t>Ejecutar carreras reales de liquidación, reintegro, cierre, certificación y asociación documental.</t>
        </is>
      </c>
      <c r="D17" s="15" t="inlineStr">
        <is>
          <t>Una operación efectiva por recurso, sin duplicados y con trazabilidad consistente.</t>
        </is>
      </c>
      <c r="E17" s="15" t="inlineStr">
        <is>
          <t>No registrada</t>
        </is>
      </c>
      <c r="F17" s="33" t="inlineStr">
        <is>
          <t>Sí</t>
        </is>
      </c>
      <c r="G17" s="15" t="inlineStr">
        <is>
          <t>EXITOSA</t>
        </is>
      </c>
      <c r="H17" s="15" t="inlineStr">
        <is>
          <t>Evidencia de concurrencia PostgreSQL previamente obtenida; clasificada como evidencia técnica, no como prueba funcional manual.</t>
        </is>
      </c>
      <c r="I17" s="34" t="inlineStr">
        <is>
          <t>Sí</t>
        </is>
      </c>
    </row>
    <row r="19" ht="12.75" customHeight="1">
      <c r="A19" s="37" t="inlineStr">
        <is>
          <t>Comentarios Adicionales</t>
        </is>
      </c>
      <c r="B19" s="38" t="inlineStr">
        <is>
          <t>Los resultados se basan únicamente en evidencia disponible. Se distinguen pruebas funcionales, pruebas automatizadas, integración/E2E, evidencia PostgreSQL y concurrencia. Las fechas y tiempos no registrados se mantienen vacíos o como No registrada. El caso P2034 conserva su resultado inicial, corrección y reprueba.</t>
        </is>
      </c>
    </row>
    <row r="22" ht="12.75" customHeight="1">
      <c r="A22" s="9" t="inlineStr">
        <is>
          <t>% Pruebas Realizadas</t>
        </is>
      </c>
      <c r="C22" s="41">
        <f>IF(C24=0,0,ROUND(C25/C24*100,2))</f>
        <v>100</v>
      </c>
      <c r="F22" s="9" t="inlineStr">
        <is>
          <t>% Pruebas Exitosas</t>
        </is>
      </c>
      <c r="H22" s="41">
        <f>IF(C25=0,0,ROUND(H25/C25*100,2))</f>
        <v>100</v>
      </c>
    </row>
    <row r="24" ht="12.75" customHeight="1">
      <c r="A24" s="40" t="inlineStr">
        <is>
          <t>No. de Pruebas</t>
        </is>
      </c>
      <c r="C24" s="41">
        <f>COUNTA(B9:B17)</f>
        <v>9</v>
      </c>
    </row>
    <row r="25" ht="12.75" customHeight="1">
      <c r="A25" s="40" t="inlineStr">
        <is>
          <t>Pruebas Realizadas:</t>
        </is>
      </c>
      <c r="C25" s="42">
        <f>COUNTIF(F9:F17,"Sí")</f>
        <v>9</v>
      </c>
      <c r="F25" s="40" t="inlineStr">
        <is>
          <t>Pruebas Exitosas:</t>
        </is>
      </c>
      <c r="H25" s="42">
        <f>COUNTIF(I9:I17,"Sí")</f>
        <v>9</v>
      </c>
    </row>
    <row r="26" ht="12.75" customHeight="1">
      <c r="A26" s="40" t="inlineStr">
        <is>
          <t>Pruebas por Realizadas:</t>
        </is>
      </c>
      <c r="C26" s="41">
        <f>C24-C25</f>
        <v>0</v>
      </c>
      <c r="F26" s="40" t="inlineStr">
        <is>
          <t>Pruebas No Exitosas:</t>
        </is>
      </c>
      <c r="H26" s="41">
        <f>COUNTIF(I9:I17,"No")</f>
        <v>0</v>
      </c>
    </row>
  </sheetData>
  <mergeCells count="14">
    <mergeCell ref="A12:A14"/>
    <mergeCell ref="A15:A17"/>
    <mergeCell ref="A20:I20"/>
    <mergeCell ref="A24:B24"/>
    <mergeCell ref="A25:B25"/>
    <mergeCell ref="F25:G25"/>
    <mergeCell ref="A26:B26"/>
    <mergeCell ref="F26:G26"/>
    <mergeCell ref="A1:I2"/>
    <mergeCell ref="A3:B3"/>
    <mergeCell ref="A4:B4"/>
    <mergeCell ref="A5:B5"/>
    <mergeCell ref="A6:B6"/>
    <mergeCell ref="A9:A11"/>
  </mergeCells>
  <dataValidations>
    <dataValidation type="list" allowBlank="1" showInputMessage="1" showErrorMessage="1" prompt="Debe ingresar uno de los siguientes valores:_x000a_&quot;SI&quot;_x000a_&quot;NO&quot;" sqref="F9:F17 I9:I17">
      <formula1>"Sí,No"</formula1>
    </dataValidation>
  </dataValidations>
  <printOptions/>
  <pageMargins bottom="0.5511811023622047" footer="0.0" header="0.0" left="0.7086614173228347" right="0.7086614173228347" top="0.9448818897637796"/>
  <pageSetup scale="90" orientation="landscape"/>
  <headerFooter>
    <oddHeader>&amp;C Gerencia Dirección de Operaciones&amp;R Edición Vigente 13/01/2014</oddHeader>
    <oddFooter>&amp;LUso Interno&amp;CGerencia de Sistemas y Tecnología&amp;R&amp;P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/>
  <sheetViews/>
  <sheetFormatPr defaultRowHeight="15"/>
  <cols>
    <col min="1" max="1" width="18" customWidth="1"/>
    <col min="2" max="2" width="34" customWidth="1"/>
    <col min="3" max="3" width="28" customWidth="1"/>
    <col min="4" max="4" width="13" customWidth="1"/>
    <col min="5" max="5" width="16" customWidth="1"/>
    <col min="6" max="6" width="62" customWidth="1"/>
    <col min="7" max="7" width="38" customWidth="1"/>
    <col min="8" max="8" width="44" customWidth="1"/>
    <col min="9" max="9" width="16" customWidth="1"/>
    <col min="10" max="10" width="24" customWidth="1"/>
  </cols>
  <sheetData>
    <row r="1" ht="30" customHeight="1">
      <c r="A1" s="17" t="inlineStr">
        <is>
          <t>No. Requerimiento</t>
        </is>
      </c>
      <c r="B1" s="17" t="inlineStr">
        <is>
          <t>Caso de prueba</t>
        </is>
      </c>
      <c r="C1" s="17" t="inlineStr">
        <is>
          <t>Tipo de evidencia</t>
        </is>
      </c>
      <c r="D1" s="17" t="inlineStr">
        <is>
          <t>Iteración</t>
        </is>
      </c>
      <c r="E1" s="17" t="inlineStr">
        <is>
          <t>Resultado</t>
        </is>
      </c>
      <c r="F1" s="17" t="inlineStr">
        <is>
          <t>Evidencia disponible</t>
        </is>
      </c>
      <c r="G1" s="17" t="inlineStr">
        <is>
          <t>Defecto encontrado</t>
        </is>
      </c>
      <c r="H1" s="17" t="inlineStr">
        <is>
          <t>Corrección aplicada</t>
        </is>
      </c>
      <c r="I1" s="17" t="inlineStr">
        <is>
          <t>Reprueba</t>
        </is>
      </c>
      <c r="J1" s="17" t="inlineStr">
        <is>
          <t>Resultado final</t>
        </is>
      </c>
      <c r="K1" s="17" t="inlineStr">
        <is>
          <t>Observaciones</t>
        </is>
      </c>
    </row>
    <row r="2" ht="42" customHeight="1">
      <c r="A2" s="18" t="inlineStr">
        <is>
          <t>REQ-PRES-001</t>
        </is>
      </c>
      <c r="B2" s="18" t="inlineStr">
        <is>
          <t>Presupuesto mensual suficiente</t>
        </is>
      </c>
      <c r="C2" s="18" t="inlineStr">
        <is>
          <t>PRUEBA AUTOMATIZADA; EVIDENCIA DE BASE DE DATOS</t>
        </is>
      </c>
      <c r="D2" s="18" t="inlineStr">
        <is>
          <t>06</t>
        </is>
      </c>
      <c r="E2" s="18" t="inlineStr">
        <is>
          <t>EXITOSA</t>
        </is>
      </c>
      <c r="F2" s="21" t="inlineStr">
        <is>
          <t>Validación y reserva presupuestaria documentadas</t>
        </is>
      </c>
      <c r="G2" s="21" t="inlineStr">
        <is>
          <t/>
        </is>
      </c>
      <c r="H2" s="21" t="inlineStr">
        <is>
          <t/>
        </is>
      </c>
      <c r="I2" s="18" t="inlineStr">
        <is>
          <t>No aplica</t>
        </is>
      </c>
      <c r="J2" s="18" t="inlineStr">
        <is>
          <t>EXITOSA</t>
        </is>
      </c>
      <c r="K2" s="21" t="inlineStr">
        <is>
          <t>No se registró como prueba manual.</t>
        </is>
      </c>
    </row>
    <row r="3" ht="42" customHeight="1">
      <c r="A3" s="18" t="inlineStr">
        <is>
          <t>REQ-PRES-002</t>
        </is>
      </c>
      <c r="B3" s="18" t="inlineStr">
        <is>
          <t>Presupuesto insuficiente</t>
        </is>
      </c>
      <c r="C3" s="18" t="inlineStr">
        <is>
          <t>PRUEBA AUTOMATIZADA</t>
        </is>
      </c>
      <c r="D3" s="18" t="inlineStr">
        <is>
          <t>06</t>
        </is>
      </c>
      <c r="E3" s="18" t="inlineStr">
        <is>
          <t>EXITOSA</t>
        </is>
      </c>
      <c r="F3" s="21" t="inlineStr">
        <is>
          <t>Regla negativa de presupuesto</t>
        </is>
      </c>
      <c r="G3" s="21" t="inlineStr">
        <is>
          <t/>
        </is>
      </c>
      <c r="H3" s="21" t="inlineStr">
        <is>
          <t/>
        </is>
      </c>
      <c r="I3" s="18" t="inlineStr">
        <is>
          <t>No aplica</t>
        </is>
      </c>
      <c r="J3" s="18" t="inlineStr">
        <is>
          <t>EXITOSA</t>
        </is>
      </c>
      <c r="K3" s="21" t="inlineStr">
        <is>
          <t>Sin reserva inválida.</t>
        </is>
      </c>
    </row>
    <row r="4" ht="42" customHeight="1">
      <c r="A4" s="18" t="inlineStr">
        <is>
          <t>REQ-FLUJO-003</t>
        </is>
      </c>
      <c r="B4" s="18" t="inlineStr">
        <is>
          <t>Solicitud, reserva y aprobación</t>
        </is>
      </c>
      <c r="C4" s="18" t="inlineStr">
        <is>
          <t>PRUEBA DE INTEGRACIÓN/E2E; EVIDENCIA DE BASE DE DATOS</t>
        </is>
      </c>
      <c r="D4" s="18" t="inlineStr">
        <is>
          <t>05.7</t>
        </is>
      </c>
      <c r="E4" s="18" t="inlineStr">
        <is>
          <t>EXITOSA</t>
        </is>
      </c>
      <c r="F4" s="21" t="inlineStr">
        <is>
          <t>Request 9c24940d-4e4b-4bcf-b1ca-c892af67f4c1; reservation 314ee3f3-ac82-4f65-9ba7-fda785cfd685</t>
        </is>
      </c>
      <c r="G4" s="21" t="inlineStr">
        <is>
          <t/>
        </is>
      </c>
      <c r="H4" s="21" t="inlineStr">
        <is>
          <t/>
        </is>
      </c>
      <c r="I4" s="18" t="inlineStr">
        <is>
          <t>No aplica</t>
        </is>
      </c>
      <c r="J4" s="18" t="inlineStr">
        <is>
          <t>EXITOSA</t>
        </is>
      </c>
      <c r="K4" s="21" t="inlineStr">
        <is>
          <t>Servicios reales y PostgreSQL.</t>
        </is>
      </c>
    </row>
    <row r="5" ht="42" customHeight="1">
      <c r="A5" s="18" t="inlineStr">
        <is>
          <t>REQ-PAGO-004</t>
        </is>
      </c>
      <c r="B5" s="18" t="inlineStr">
        <is>
          <t>Pago de solicitud aprobada</t>
        </is>
      </c>
      <c r="C5" s="18" t="inlineStr">
        <is>
          <t>PRUEBA DE INTEGRACIÓN/E2E; EVIDENCIA DE BASE DE DATOS</t>
        </is>
      </c>
      <c r="D5" s="18" t="inlineStr">
        <is>
          <t>05.7</t>
        </is>
      </c>
      <c r="E5" s="18" t="inlineStr">
        <is>
          <t>EXITOSA</t>
        </is>
      </c>
      <c r="F5" s="21" t="inlineStr">
        <is>
          <t>Payment 4ffb87de-f5f3-4a0d-af3a-26b203027841, estado PAGADO</t>
        </is>
      </c>
      <c r="G5" s="21" t="inlineStr">
        <is>
          <t/>
        </is>
      </c>
      <c r="H5" s="21" t="inlineStr">
        <is>
          <t/>
        </is>
      </c>
      <c r="I5" s="18" t="inlineStr">
        <is>
          <t>No aplica</t>
        </is>
      </c>
      <c r="J5" s="18" t="inlineStr">
        <is>
          <t>EXITOSA</t>
        </is>
      </c>
      <c r="K5" s="21" t="inlineStr">
        <is>
          <t>Evidencia documental existente.</t>
        </is>
      </c>
    </row>
    <row r="6" ht="42" customHeight="1">
      <c r="A6" s="18" t="inlineStr">
        <is>
          <t>REQ-OCR-005</t>
        </is>
      </c>
      <c r="B6" s="18" t="inlineStr">
        <is>
          <t>Documento OCR elegible</t>
        </is>
      </c>
      <c r="C6" s="18" t="inlineStr">
        <is>
          <t>PRUEBA DE INTEGRACIÓN/E2E; EVIDENCIA DE BASE DE DATOS</t>
        </is>
      </c>
      <c r="D6" s="18" t="inlineStr">
        <is>
          <t>05.7</t>
        </is>
      </c>
      <c r="E6" s="18" t="inlineStr">
        <is>
          <t>EXITOSA</t>
        </is>
      </c>
      <c r="F6" s="21" t="inlineStr">
        <is>
          <t>Document dd0ae3bc-dcad-4517-9241-50e748da23d2; usedInSettlement=true</t>
        </is>
      </c>
      <c r="G6" s="21" t="inlineStr">
        <is>
          <t/>
        </is>
      </c>
      <c r="H6" s="21" t="inlineStr">
        <is>
          <t/>
        </is>
      </c>
      <c r="I6" s="18" t="inlineStr">
        <is>
          <t>No aplica</t>
        </is>
      </c>
      <c r="J6" s="18" t="inlineStr">
        <is>
          <t>EXITOSA</t>
        </is>
      </c>
      <c r="K6" s="21" t="inlineStr">
        <is>
          <t>OCR_VIEW_COMPANY persistido.</t>
        </is>
      </c>
    </row>
    <row r="7" ht="42" customHeight="1">
      <c r="A7" s="18" t="inlineStr">
        <is>
          <t>REQ-LIQ-006</t>
        </is>
      </c>
      <c r="B7" s="18" t="inlineStr">
        <is>
          <t>Liquidación sin reintegro hasta certificación</t>
        </is>
      </c>
      <c r="C7" s="18" t="inlineStr">
        <is>
          <t>PRUEBA DE INTEGRACIÓN/E2E; EVIDENCIA DE BASE DE DATOS</t>
        </is>
      </c>
      <c r="D7" s="18" t="inlineStr">
        <is>
          <t>05.7</t>
        </is>
      </c>
      <c r="E7" s="18" t="inlineStr">
        <is>
          <t>EXITOSA</t>
        </is>
      </c>
      <c r="F7" s="21" t="inlineStr">
        <is>
          <t>Settlement 44fcaabc-f45b-4705-b569-03334b4500af; LIQ-2026-00008</t>
        </is>
      </c>
      <c r="G7" s="21" t="inlineStr">
        <is>
          <t/>
        </is>
      </c>
      <c r="H7" s="21" t="inlineStr">
        <is>
          <t/>
        </is>
      </c>
      <c r="I7" s="18" t="inlineStr">
        <is>
          <t>No aplica</t>
        </is>
      </c>
      <c r="J7" s="18" t="inlineStr">
        <is>
          <t>EXITOSA</t>
        </is>
      </c>
      <c r="K7" s="21" t="inlineStr">
        <is>
          <t>Balance CUADRADA; CERRADA; CERTIFICADA.</t>
        </is>
      </c>
    </row>
    <row r="8" ht="42" customHeight="1">
      <c r="A8" s="18" t="inlineStr">
        <is>
          <t>REQ-REF-007</t>
        </is>
      </c>
      <c r="B8" s="18" t="inlineStr">
        <is>
          <t>Liquidación con reintegro</t>
        </is>
      </c>
      <c r="C8" s="18" t="inlineStr">
        <is>
          <t>PRUEBA DE INTEGRACIÓN/E2E; EVIDENCIA DE BASE DE DATOS</t>
        </is>
      </c>
      <c r="D8" s="18" t="inlineStr">
        <is>
          <t>05.8</t>
        </is>
      </c>
      <c r="E8" s="18" t="inlineStr">
        <is>
          <t>EXITOSA</t>
        </is>
      </c>
      <c r="F8" s="21" t="inlineStr">
        <is>
          <t>Pago 10,000; documentos 8,500; reintegro 1,500; diferencia 0</t>
        </is>
      </c>
      <c r="G8" s="21" t="inlineStr">
        <is>
          <t/>
        </is>
      </c>
      <c r="H8" s="21" t="inlineStr">
        <is>
          <t/>
        </is>
      </c>
      <c r="I8" s="18" t="inlineStr">
        <is>
          <t>No aplica</t>
        </is>
      </c>
      <c r="J8" s="18" t="inlineStr">
        <is>
          <t>EXITOSA</t>
        </is>
      </c>
      <c r="K8" s="21" t="inlineStr">
        <is>
          <t>IDs no disponibles en documentación consultada.</t>
        </is>
      </c>
    </row>
    <row r="9" ht="42" customHeight="1">
      <c r="A9" s="18" t="inlineStr">
        <is>
          <t>REQ-CON-008</t>
        </is>
      </c>
      <c r="B9" s="18" t="inlineStr">
        <is>
          <t>Numeración concurrente de liquidaciones</t>
        </is>
      </c>
      <c r="C9" s="18" t="inlineStr">
        <is>
          <t>EVIDENCIA DE CONCURRENCIA; EVIDENCIA DE BASE DE DATOS</t>
        </is>
      </c>
      <c r="D9" s="18" t="inlineStr">
        <is>
          <t>05.15</t>
        </is>
      </c>
      <c r="E9" s="18" t="inlineStr">
        <is>
          <t>EXITOSA</t>
        </is>
      </c>
      <c r="F9" s="21" t="inlineStr">
        <is>
          <t>LIQ-2026-00287, -00288, -00289, -00290, -00291</t>
        </is>
      </c>
      <c r="G9" s="21" t="inlineStr">
        <is>
          <t>P2034 bajo Serializable</t>
        </is>
      </c>
      <c r="H9" s="21" t="inlineStr">
        <is>
          <t>Reintentos acotados para P2034, conservando locks y UNIQUE</t>
        </is>
      </c>
      <c r="I9" s="18" t="inlineStr">
        <is>
          <t>Sí</t>
        </is>
      </c>
      <c r="J9" s="18" t="inlineStr">
        <is>
          <t>EXITOSA</t>
        </is>
      </c>
      <c r="K9" s="21" t="inlineStr">
        <is>
          <t>Primera ejecución NO EXITOSA; reprueba PASS.</t>
        </is>
      </c>
    </row>
    <row r="10" ht="42" customHeight="1">
      <c r="A10" s="18" t="inlineStr">
        <is>
          <t>REQ-SEC-009</t>
        </is>
      </c>
      <c r="B10" s="18" t="inlineStr">
        <is>
          <t>Controles concurrentes e inmutabilidad</t>
        </is>
      </c>
      <c r="C10" s="18" t="inlineStr">
        <is>
          <t>EVIDENCIA DE CONCURRENCIA; EVIDENCIA DE BASE DE DATOS</t>
        </is>
      </c>
      <c r="D10" s="18" t="inlineStr">
        <is>
          <t>05.9–05.15</t>
        </is>
      </c>
      <c r="E10" s="18" t="inlineStr">
        <is>
          <t>EXITOSA</t>
        </is>
      </c>
      <c r="F10" s="21" t="inlineStr">
        <is>
          <t>Ejecuciones reales de liquidación, reintegro, cierre, certificación y documento</t>
        </is>
      </c>
      <c r="G10" s="21" t="inlineStr">
        <is>
          <t/>
        </is>
      </c>
      <c r="H10" s="21" t="inlineStr">
        <is>
          <t/>
        </is>
      </c>
      <c r="I10" s="18" t="inlineStr">
        <is>
          <t>No aplica</t>
        </is>
      </c>
      <c r="J10" s="18" t="inlineStr">
        <is>
          <t>EXITOSA</t>
        </is>
      </c>
      <c r="K10" s="21" t="inlineStr">
        <is>
          <t>Evidencia técnica, no prueba funcional manual.</t>
        </is>
      </c>
    </row>
  </sheetData>
  <pageMargins left="0.25" right="0.25" top="0.5" bottom="0.5" header="0" footer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2018-08-04T00:26:18Z</dcterms:created>
  <dc:creator>Leiva-PC</dc:creator>
</cp:coreProperties>
</file>