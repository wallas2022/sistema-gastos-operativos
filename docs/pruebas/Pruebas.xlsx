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WR\Walter_Rosales\Proyectos\Sistema gastos operativos\stack\docs\pruebas\"/>
    </mc:Choice>
  </mc:AlternateContent>
  <xr:revisionPtr revIDLastSave="0" documentId="13_ncr:1_{7175EEE3-C5DD-4B1A-93A4-96D3A4AD52C2}" xr6:coauthVersionLast="47" xr6:coauthVersionMax="47" xr10:uidLastSave="{00000000-0000-0000-0000-000000000000}"/>
  <bookViews>
    <workbookView xWindow="18770" yWindow="10690" windowWidth="19420" windowHeight="11500" xr2:uid="{00000000-000D-0000-FFFF-FFFF00000000}"/>
  </bookViews>
  <sheets>
    <sheet name="Pruebas Req Fun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w6tLT6DWkDh0UqWYnQZhs9qJ5FTHdANDtW8HyjISPes="/>
    </ext>
  </extLst>
</workbook>
</file>

<file path=xl/calcChain.xml><?xml version="1.0" encoding="utf-8"?>
<calcChain xmlns="http://schemas.openxmlformats.org/spreadsheetml/2006/main">
  <c r="H67" i="1" l="1"/>
  <c r="C67" i="1"/>
  <c r="H66" i="1"/>
  <c r="C66" i="1"/>
</calcChain>
</file>

<file path=xl/sharedStrings.xml><?xml version="1.0" encoding="utf-8"?>
<sst xmlns="http://schemas.openxmlformats.org/spreadsheetml/2006/main" count="433" uniqueCount="203">
  <si>
    <t>Resultados de Pruebas de Requerimientos Funcionales</t>
  </si>
  <si>
    <t>Proyecto:</t>
  </si>
  <si>
    <t>Analista Encargado del proyecto:</t>
  </si>
  <si>
    <t>Pruebas realizadas por:</t>
  </si>
  <si>
    <t>Fecha de Inicio de Pruebas:</t>
  </si>
  <si>
    <t>No. Requerimiento</t>
  </si>
  <si>
    <t>Pruebas a Realizar</t>
  </si>
  <si>
    <t>Criterio de Aceptación</t>
  </si>
  <si>
    <t>Tiempo Estimado</t>
  </si>
  <si>
    <t>Fecha de prueba</t>
  </si>
  <si>
    <t>Prueba realizada</t>
  </si>
  <si>
    <t>Resultado Obtenido</t>
  </si>
  <si>
    <t>Observaciones</t>
  </si>
  <si>
    <t>Prueba Exitosa</t>
  </si>
  <si>
    <t>Ingreso de usuario</t>
  </si>
  <si>
    <t>SI</t>
  </si>
  <si>
    <t>Baja de usuario</t>
  </si>
  <si>
    <t>Comentarios Adicionales</t>
  </si>
  <si>
    <t>% Pruebas Realizadas</t>
  </si>
  <si>
    <t>% Pruebas Exitosas</t>
  </si>
  <si>
    <t>No. de Pruebas</t>
  </si>
  <si>
    <t>Pruebas Realizadas:</t>
  </si>
  <si>
    <t>Pruebas Exitosas:</t>
  </si>
  <si>
    <t>Pruebas por Realizadas:</t>
  </si>
  <si>
    <t>Pruebas No Exitosas:</t>
  </si>
  <si>
    <t>Req. 001</t>
  </si>
  <si>
    <t>El usuario ingresa correctamente con credenciales válidas</t>
  </si>
  <si>
    <t>2 min</t>
  </si>
  <si>
    <t>Actualización de usuario</t>
  </si>
  <si>
    <t>1 min</t>
  </si>
  <si>
    <t>Req. 002</t>
  </si>
  <si>
    <t>Consulta de reporte</t>
  </si>
  <si>
    <t>3 min</t>
  </si>
  <si>
    <t>Validación de información del reporte</t>
  </si>
  <si>
    <t>4 min</t>
  </si>
  <si>
    <t>Req. 003</t>
  </si>
  <si>
    <t>Registro de solicitud</t>
  </si>
  <si>
    <t>El sistema permite registrar una solicitud con los datos obligatorios</t>
  </si>
  <si>
    <t>La solicitud fue registrada correctamente</t>
  </si>
  <si>
    <t>Req. 004</t>
  </si>
  <si>
    <t>Req. 005</t>
  </si>
  <si>
    <t>Rechazo de solicitud</t>
  </si>
  <si>
    <t>Req. 006</t>
  </si>
  <si>
    <t>Registro de ejecución</t>
  </si>
  <si>
    <t>Consulta de ejecución</t>
  </si>
  <si>
    <t>Req. 007</t>
  </si>
  <si>
    <t>Registro de documento</t>
  </si>
  <si>
    <t>Consulta de documentos</t>
  </si>
  <si>
    <t>Req. 008</t>
  </si>
  <si>
    <t>Creación de liquidación</t>
  </si>
  <si>
    <t>Req. 009</t>
  </si>
  <si>
    <t>5 min</t>
  </si>
  <si>
    <t>El usuario ingresó correctamente al sistema</t>
  </si>
  <si>
    <t>Ingreso con credenciales inválidas</t>
  </si>
  <si>
    <t>El sistema rechaza las credenciales incorrectas</t>
  </si>
  <si>
    <t>El acceso fue rechazado correctamente</t>
  </si>
  <si>
    <t>El sistema permite modificar los datos autorizados</t>
  </si>
  <si>
    <t>Los datos fueron actualizados correctamente</t>
  </si>
  <si>
    <t>El usuario puede ser desactivado sin eliminar su información histórica</t>
  </si>
  <si>
    <t>El usuario quedó inactivo</t>
  </si>
  <si>
    <t>El sistema genera el reporte solicitado</t>
  </si>
  <si>
    <t>El reporte fue generado correctamente</t>
  </si>
  <si>
    <t>Filtrado de reporte</t>
  </si>
  <si>
    <t>El reporte permite filtrar la información requerida</t>
  </si>
  <si>
    <t>Los filtros devolvieron la información correspondiente</t>
  </si>
  <si>
    <t>Los datos del reporte corresponden a los registros almacenados</t>
  </si>
  <si>
    <t>Solicitud incompleta</t>
  </si>
  <si>
    <t>El sistema impide registrar información obligatoria faltante</t>
  </si>
  <si>
    <t>El sistema rechazó el registro incompleto</t>
  </si>
  <si>
    <t>Consulta de solicitud</t>
  </si>
  <si>
    <t>El usuario puede consultar una solicitud registrada</t>
  </si>
  <si>
    <t>La solicitud fue localizada correctamente</t>
  </si>
  <si>
    <t>Selección presupuestaria</t>
  </si>
  <si>
    <t>La solicitud puede relacionarse con el presupuesto correspondiente</t>
  </si>
  <si>
    <t>La relación presupuestaria fue establecida</t>
  </si>
  <si>
    <t>Validación de disponibilidad</t>
  </si>
  <si>
    <t>El sistema valida la disponibilidad presupuestaria</t>
  </si>
  <si>
    <t>La disponibilidad fue validada correctamente</t>
  </si>
  <si>
    <t>Control de presupuesto insuficiente</t>
  </si>
  <si>
    <t>El sistema impide continuar cuando no existe disponibilidad</t>
  </si>
  <si>
    <t>La operación fue rechazada correctamente</t>
  </si>
  <si>
    <t>Aprobación de solicitud</t>
  </si>
  <si>
    <t>La solicitud cambia al estado correspondiente</t>
  </si>
  <si>
    <t>El estado fue actualizado correctamente</t>
  </si>
  <si>
    <t>Una solicitud rechazada cambia al estado correspondiente</t>
  </si>
  <si>
    <t>La solicitud quedó rechazada</t>
  </si>
  <si>
    <t>Consulta del estado</t>
  </si>
  <si>
    <t>El sistema muestra el estado actual de la solicitud</t>
  </si>
  <si>
    <t>El estado mostrado coincidió con el registrado</t>
  </si>
  <si>
    <t>La ejecución queda relacionada con la solicitud</t>
  </si>
  <si>
    <t>La ejecución fue registrada correctamente</t>
  </si>
  <si>
    <t>El sistema permite consultar la ejecución registrada</t>
  </si>
  <si>
    <t>La información fue consultada correctamente</t>
  </si>
  <si>
    <t>Actualización de ejecución</t>
  </si>
  <si>
    <t>La información permitida puede actualizarse</t>
  </si>
  <si>
    <t>La actualización fue almacenada</t>
  </si>
  <si>
    <t>El sistema permite incorporar documentación</t>
  </si>
  <si>
    <t>El documento fue registrado correctamente</t>
  </si>
  <si>
    <t>El sistema muestra los documentos relacionados</t>
  </si>
  <si>
    <t>Los documentos fueron consultados correctamente</t>
  </si>
  <si>
    <t>Validación documental</t>
  </si>
  <si>
    <t>El sistema valida la información requerida del documento</t>
  </si>
  <si>
    <t>La validación fue realizada correctamente</t>
  </si>
  <si>
    <t>El sistema permite crear una liquidación</t>
  </si>
  <si>
    <t>La liquidación fue creada correctamente</t>
  </si>
  <si>
    <t>Consulta de liquidación</t>
  </si>
  <si>
    <t>El usuario puede consultar una liquidación registrada</t>
  </si>
  <si>
    <t>La liquidación fue localizada correctamente</t>
  </si>
  <si>
    <t>Validación de liquidación</t>
  </si>
  <si>
    <t>La liquidación respeta las condiciones requeridas</t>
  </si>
  <si>
    <t>Las condiciones fueron validadas</t>
  </si>
  <si>
    <t>Selección de documento</t>
  </si>
  <si>
    <t>El usuario puede seleccionar un documento disponible</t>
  </si>
  <si>
    <t>El documento fue seleccionado correctamente</t>
  </si>
  <si>
    <t>Sistema web para la gestión y control presupuestario de gastos operativos empresariales en Guatemala.</t>
  </si>
  <si>
    <t>Walter Rene Rosales Hurtarte</t>
  </si>
  <si>
    <t>Sin observaciones</t>
  </si>
  <si>
    <t>La información fue consistente con los registros almacenados</t>
  </si>
  <si>
    <t>Asociación de documento</t>
  </si>
  <si>
    <t>El documento se asocia correctamente a la liquidación</t>
  </si>
  <si>
    <t>La asociación fue realizada correctamente</t>
  </si>
  <si>
    <t>Documento ya asociado</t>
  </si>
  <si>
    <t>Un documento utilizado no puede asociarse nuevamente</t>
  </si>
  <si>
    <t>La segunda asociación fue rechazada correctamente</t>
  </si>
  <si>
    <t>Asociación concurrente</t>
  </si>
  <si>
    <t>Dos operaciones simultáneas no deben generar dos asociaciones</t>
  </si>
  <si>
    <t>Una operación realizó la asociación y la operación concurrente fue rechazada</t>
  </si>
  <si>
    <r>
      <t xml:space="preserve">Se verificó una única relación </t>
    </r>
    <r>
      <rPr>
        <sz val="10"/>
        <color rgb="FF000000"/>
        <rFont val="Arial Unicode MS"/>
      </rPr>
      <t>ExpenseSettlementDocument</t>
    </r>
  </si>
  <si>
    <r>
      <t xml:space="preserve">Validación </t>
    </r>
    <r>
      <rPr>
        <sz val="10"/>
        <color rgb="FF000000"/>
        <rFont val="Arial Unicode MS"/>
      </rPr>
      <t>usedInSettlement</t>
    </r>
  </si>
  <si>
    <t>El documento asociado debe quedar marcado como utilizado</t>
  </si>
  <si>
    <r>
      <t xml:space="preserve">El documento quedó registrado con </t>
    </r>
    <r>
      <rPr>
        <sz val="10"/>
        <color rgb="FF000000"/>
        <rFont val="Arial Unicode MS"/>
      </rPr>
      <t>usedInSettlement=true</t>
    </r>
  </si>
  <si>
    <r>
      <t xml:space="preserve">Integridad </t>
    </r>
    <r>
      <rPr>
        <sz val="10"/>
        <color rgb="FF000000"/>
        <rFont val="Arial Unicode MS"/>
      </rPr>
      <t>ExpenseSettlementDocument</t>
    </r>
  </si>
  <si>
    <t>Debe existir una sola relación por documento</t>
  </si>
  <si>
    <t>Se verificó una única relación</t>
  </si>
  <si>
    <t>Req. 010</t>
  </si>
  <si>
    <t>Generación de numeración</t>
  </si>
  <si>
    <t>Cada registro recibe una numeración válida</t>
  </si>
  <si>
    <t>La numeración fue generada correctamente</t>
  </si>
  <si>
    <t>Numeración consecutiva</t>
  </si>
  <si>
    <t>Los registros mantienen la secuencia correspondiente</t>
  </si>
  <si>
    <t>La secuencia fue generada correctamente</t>
  </si>
  <si>
    <t>Numeración concurrente</t>
  </si>
  <si>
    <t>Cinco operaciones simultáneas no deben generar duplicidades</t>
  </si>
  <si>
    <t>Las cinco operaciones fueron procesadas correctamente</t>
  </si>
  <si>
    <t>Sin colisiones observadas</t>
  </si>
  <si>
    <t>Req. 011</t>
  </si>
  <si>
    <t>Registro de observaciones</t>
  </si>
  <si>
    <t>El sistema permite registrar observaciones del proceso</t>
  </si>
  <si>
    <t>Las observaciones fueron almacenadas</t>
  </si>
  <si>
    <t>Consulta de observaciones</t>
  </si>
  <si>
    <t>Las observaciones pueden ser consultadas</t>
  </si>
  <si>
    <t>Las observaciones fueron mostradas correctamente</t>
  </si>
  <si>
    <t>Actualización de observaciones</t>
  </si>
  <si>
    <t>El sistema permite actualizar la información permitida</t>
  </si>
  <si>
    <t>Los cambios fueron almacenados</t>
  </si>
  <si>
    <t>Req. 012</t>
  </si>
  <si>
    <t>Validación de estados</t>
  </si>
  <si>
    <t>El sistema impide transiciones de estado no permitidas</t>
  </si>
  <si>
    <t>La transición inválida fue rechazada</t>
  </si>
  <si>
    <t>Transición válida</t>
  </si>
  <si>
    <t>El sistema permite una transición válida</t>
  </si>
  <si>
    <t>La transición fue ejecutada correctamente</t>
  </si>
  <si>
    <t>Consulta de historial</t>
  </si>
  <si>
    <t>El sistema conserva la trazabilidad del proceso</t>
  </si>
  <si>
    <t>El historial fue consultado correctamente</t>
  </si>
  <si>
    <t>Req. 013</t>
  </si>
  <si>
    <t>Validación de permisos</t>
  </si>
  <si>
    <t>El usuario solamente accede a las funciones autorizadas</t>
  </si>
  <si>
    <t>Los permisos fueron aplicados correctamente</t>
  </si>
  <si>
    <t>Acceso no autorizado</t>
  </si>
  <si>
    <t>El sistema debe impedir operaciones no permitidas</t>
  </si>
  <si>
    <t>La operación no autorizada fue rechazada</t>
  </si>
  <si>
    <t>Req. 014</t>
  </si>
  <si>
    <t>Validación de datos obligatorios</t>
  </si>
  <si>
    <t>El sistema debe impedir registros incompletos</t>
  </si>
  <si>
    <t>Los campos obligatorios fueron validados</t>
  </si>
  <si>
    <t>Validación de datos inválidos</t>
  </si>
  <si>
    <t>El sistema debe rechazar información que no cumple las reglas</t>
  </si>
  <si>
    <t>Los datos inválidos fueron rechazados</t>
  </si>
  <si>
    <t>Req. 015</t>
  </si>
  <si>
    <t>Cierre de liquidación</t>
  </si>
  <si>
    <t>La liquidación puede cerrarse al cumplir las condiciones</t>
  </si>
  <si>
    <t>La liquidación fue cerrada correctamente</t>
  </si>
  <si>
    <t>Consulta de liquidación cerrada</t>
  </si>
  <si>
    <t>El sistema permite consultar una liquidación finalizada</t>
  </si>
  <si>
    <t>Req. 016</t>
  </si>
  <si>
    <t>Integridad de relaciones</t>
  </si>
  <si>
    <t>Las entidades mantienen las relaciones definidas</t>
  </si>
  <si>
    <t>Las relaciones fueron conservadas correctamente</t>
  </si>
  <si>
    <t>Persistencia de información</t>
  </si>
  <si>
    <t>Los datos permanecen disponibles después de completar las operaciones</t>
  </si>
  <si>
    <t>La información permaneció almacenada</t>
  </si>
  <si>
    <t>Req. 017</t>
  </si>
  <si>
    <t>Consulta general del proceso</t>
  </si>
  <si>
    <t>El usuario puede consultar la información consolidada</t>
  </si>
  <si>
    <t>La información fue presentada correctamente</t>
  </si>
  <si>
    <t>Validación final del flujo</t>
  </si>
  <si>
    <t>El proceso conserva la información desde el inicio hasta el cierre</t>
  </si>
  <si>
    <t>El flujo completo mantuvo la información esperada</t>
  </si>
  <si>
    <t>Req. 018</t>
  </si>
  <si>
    <t>Manejo de excepción</t>
  </si>
  <si>
    <t>El sistema controla correctamente una condición excepcional</t>
  </si>
  <si>
    <t>La excepción fue controlada correctamente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</si>
</sst>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4"/>
      <color theme="1"/>
      <name val="Calibri"/>
    </font>
    <font>
      <sz val="10"/>
      <name val="Arial"/>
    </font>
    <font>
      <b/>
      <sz val="10"/>
      <color theme="0"/>
      <name val="Arial"/>
    </font>
    <font>
      <sz val="10"/>
      <color theme="1"/>
      <name val="Arial"/>
    </font>
    <font>
      <sz val="10"/>
      <color theme="0"/>
      <name val="Arial"/>
    </font>
    <font>
      <sz val="10"/>
      <color theme="1"/>
      <name val="Arial"/>
      <scheme val="minor"/>
    </font>
    <font>
      <sz val="10"/>
      <color theme="1"/>
      <name val="Arial"/>
      <family val="2"/>
    </font>
    <font>
      <sz val="10"/>
      <color rgb="FF000000"/>
      <name val="Arial Unicode MS"/>
    </font>
    <font>
      <sz val="10"/>
      <color rgb="FF000000"/>
      <name val="Arial"/>
      <family val="2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0" borderId="0" xfId="0" applyFont="1"/>
    <xf numFmtId="0" fontId="4" fillId="0" borderId="6" xfId="0" applyFont="1" applyBorder="1"/>
    <xf numFmtId="0" fontId="4" fillId="0" borderId="1" xfId="0" applyFont="1" applyBorder="1"/>
    <xf numFmtId="0" fontId="4" fillId="0" borderId="11" xfId="0" applyFont="1" applyBorder="1"/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 wrapText="1"/>
    </xf>
    <xf numFmtId="0" fontId="5" fillId="2" borderId="15" xfId="0" applyFont="1" applyFill="1" applyBorder="1"/>
    <xf numFmtId="0" fontId="5" fillId="2" borderId="16" xfId="0" applyFont="1" applyFill="1" applyBorder="1"/>
    <xf numFmtId="0" fontId="5" fillId="2" borderId="17" xfId="0" applyFont="1" applyFill="1" applyBorder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/>
    <xf numFmtId="0" fontId="3" fillId="2" borderId="2" xfId="0" applyFont="1" applyFill="1" applyBorder="1" applyAlignment="1">
      <alignment horizontal="left"/>
    </xf>
    <xf numFmtId="0" fontId="2" fillId="0" borderId="3" xfId="0" applyFont="1" applyBorder="1"/>
    <xf numFmtId="0" fontId="3" fillId="2" borderId="4" xfId="0" applyFont="1" applyFill="1" applyBorder="1" applyAlignment="1">
      <alignment horizontal="left"/>
    </xf>
    <xf numFmtId="0" fontId="2" fillId="0" borderId="5" xfId="0" applyFont="1" applyBorder="1"/>
    <xf numFmtId="0" fontId="3" fillId="2" borderId="7" xfId="0" applyFont="1" applyFill="1" applyBorder="1" applyAlignment="1">
      <alignment horizontal="left"/>
    </xf>
    <xf numFmtId="0" fontId="2" fillId="0" borderId="8" xfId="0" applyFont="1" applyBorder="1"/>
    <xf numFmtId="0" fontId="3" fillId="2" borderId="9" xfId="0" applyFont="1" applyFill="1" applyBorder="1" applyAlignment="1">
      <alignment horizontal="left"/>
    </xf>
    <xf numFmtId="0" fontId="2" fillId="0" borderId="10" xfId="0" applyFont="1" applyBorder="1"/>
    <xf numFmtId="0" fontId="9" fillId="0" borderId="0" xfId="0" applyFont="1" applyAlignment="1">
      <alignment vertical="center" wrapText="1"/>
    </xf>
    <xf numFmtId="14" fontId="9" fillId="0" borderId="0" xfId="0" applyNumberFormat="1" applyFont="1" applyAlignment="1">
      <alignment vertical="center" wrapText="1"/>
    </xf>
    <xf numFmtId="0" fontId="10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7" fillId="0" borderId="0" xfId="0" applyFont="1"/>
    <xf numFmtId="1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1-763B-4136-B543-3A4007EC611B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763B-4136-B543-3A4007EC611B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'Pruebas Req Func'!$A$66:$A$67</c:f>
              <c:strCache>
                <c:ptCount val="2"/>
                <c:pt idx="0">
                  <c:v>Pruebas Realizadas:</c:v>
                </c:pt>
                <c:pt idx="1">
                  <c:v>Pruebas por Realizadas:</c:v>
                </c:pt>
              </c:strCache>
            </c:strRef>
          </c:cat>
          <c:val>
            <c:numRef>
              <c:f>'Pruebas Req Func'!$C$66:$C$67</c:f>
              <c:numCache>
                <c:formatCode>General</c:formatCode>
                <c:ptCount val="2"/>
                <c:pt idx="0">
                  <c:v>50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B-4136-B543-3A4007EC6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  <a:endParaRPr lang="es-G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1-7447-4081-8829-89873AB4A2FE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3-7447-4081-8829-89873AB4A2FE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'Pruebas Req Func'!$F$66:$F$67</c:f>
              <c:strCache>
                <c:ptCount val="2"/>
                <c:pt idx="0">
                  <c:v>Pruebas Exitosas:</c:v>
                </c:pt>
                <c:pt idx="1">
                  <c:v>Pruebas No Exitosas:</c:v>
                </c:pt>
              </c:strCache>
            </c:strRef>
          </c:cat>
          <c:val>
            <c:numRef>
              <c:f>'Pruebas Req Func'!$H$66:$H$67</c:f>
              <c:numCache>
                <c:formatCode>General</c:formatCode>
                <c:ptCount val="2"/>
                <c:pt idx="0">
                  <c:v>50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47-4081-8829-89873AB4A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G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69</xdr:row>
      <xdr:rowOff>9525</xdr:rowOff>
    </xdr:from>
    <xdr:ext cx="3552825" cy="2057400"/>
    <xdr:graphicFrame macro="">
      <xdr:nvGraphicFramePr>
        <xdr:cNvPr id="725724684" name="Chart 1">
          <a:extLst>
            <a:ext uri="{FF2B5EF4-FFF2-40B4-BE49-F238E27FC236}">
              <a16:creationId xmlns:a16="http://schemas.microsoft.com/office/drawing/2014/main" id="{00000000-0008-0000-0000-00000CAE4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1028700</xdr:colOff>
      <xdr:row>68</xdr:row>
      <xdr:rowOff>123825</xdr:rowOff>
    </xdr:from>
    <xdr:ext cx="3924300" cy="2085975"/>
    <xdr:graphicFrame macro="">
      <xdr:nvGraphicFramePr>
        <xdr:cNvPr id="625917057" name="Chart 2">
          <a:extLst>
            <a:ext uri="{FF2B5EF4-FFF2-40B4-BE49-F238E27FC236}">
              <a16:creationId xmlns:a16="http://schemas.microsoft.com/office/drawing/2014/main" id="{00000000-0008-0000-0000-000081BC4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0"/>
  <sheetViews>
    <sheetView tabSelected="1" topLeftCell="A36" zoomScale="70" zoomScaleNormal="70" workbookViewId="0">
      <selection activeCell="G14" sqref="G14"/>
    </sheetView>
  </sheetViews>
  <sheetFormatPr baseColWidth="10" defaultColWidth="12.6328125" defaultRowHeight="15" customHeight="1"/>
  <cols>
    <col min="1" max="1" width="15.08984375" customWidth="1"/>
    <col min="2" max="2" width="15.7265625" customWidth="1"/>
    <col min="3" max="4" width="14.26953125" customWidth="1"/>
    <col min="5" max="6" width="15.90625" customWidth="1"/>
    <col min="7" max="7" width="18.26953125" customWidth="1"/>
    <col min="8" max="8" width="15" customWidth="1"/>
    <col min="9" max="9" width="12.90625" customWidth="1"/>
    <col min="10" max="26" width="10.6328125" customWidth="1"/>
  </cols>
  <sheetData>
    <row r="1" spans="1:9" ht="12.75" customHeight="1">
      <c r="A1" s="16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2.75" customHeight="1">
      <c r="A2" s="17"/>
      <c r="B2" s="17"/>
      <c r="C2" s="17"/>
      <c r="D2" s="17"/>
      <c r="E2" s="17"/>
      <c r="F2" s="17"/>
      <c r="G2" s="17"/>
      <c r="H2" s="17"/>
      <c r="I2" s="17"/>
    </row>
    <row r="3" spans="1:9" ht="12.75" customHeight="1">
      <c r="A3" s="18" t="s">
        <v>1</v>
      </c>
      <c r="B3" s="19"/>
      <c r="C3" s="28" t="s">
        <v>114</v>
      </c>
      <c r="D3" s="28"/>
      <c r="E3" s="28"/>
      <c r="F3" s="28"/>
      <c r="G3" s="28"/>
      <c r="H3" s="28"/>
      <c r="I3" s="29"/>
    </row>
    <row r="4" spans="1:9" ht="12.75" customHeight="1">
      <c r="A4" s="20" t="s">
        <v>2</v>
      </c>
      <c r="B4" s="21"/>
      <c r="C4" s="30" t="s">
        <v>115</v>
      </c>
      <c r="D4" s="1"/>
      <c r="E4" s="1"/>
      <c r="F4" s="1"/>
      <c r="G4" s="1"/>
      <c r="H4" s="1"/>
      <c r="I4" s="2"/>
    </row>
    <row r="5" spans="1:9" ht="12.75" customHeight="1">
      <c r="A5" s="22" t="s">
        <v>3</v>
      </c>
      <c r="B5" s="23"/>
      <c r="C5" s="30" t="s">
        <v>115</v>
      </c>
      <c r="D5" s="1"/>
      <c r="E5" s="1"/>
      <c r="F5" s="1"/>
      <c r="G5" s="1"/>
      <c r="H5" s="1"/>
      <c r="I5" s="2"/>
    </row>
    <row r="6" spans="1:9" ht="12.75" customHeight="1">
      <c r="A6" s="24" t="s">
        <v>4</v>
      </c>
      <c r="B6" s="25"/>
      <c r="C6" s="31">
        <v>46274</v>
      </c>
      <c r="D6" s="3"/>
      <c r="E6" s="3"/>
      <c r="F6" s="3"/>
      <c r="G6" s="3"/>
      <c r="H6" s="3"/>
      <c r="I6" s="4"/>
    </row>
    <row r="7" spans="1:9" ht="12.75" customHeight="1">
      <c r="A7" s="1"/>
    </row>
    <row r="8" spans="1:9" ht="12.75" customHeight="1">
      <c r="A8" s="5" t="s">
        <v>5</v>
      </c>
      <c r="B8" s="6" t="s">
        <v>6</v>
      </c>
      <c r="C8" s="6" t="s">
        <v>7</v>
      </c>
      <c r="D8" s="7" t="s">
        <v>8</v>
      </c>
      <c r="E8" s="6" t="s">
        <v>9</v>
      </c>
      <c r="F8" s="6" t="s">
        <v>10</v>
      </c>
      <c r="G8" s="6" t="s">
        <v>11</v>
      </c>
      <c r="H8" s="6" t="s">
        <v>12</v>
      </c>
      <c r="I8" s="7" t="s">
        <v>13</v>
      </c>
    </row>
    <row r="9" spans="1:9" ht="12.75" customHeight="1">
      <c r="A9" s="26" t="s">
        <v>25</v>
      </c>
      <c r="B9" s="26" t="s">
        <v>14</v>
      </c>
      <c r="C9" s="26" t="s">
        <v>26</v>
      </c>
      <c r="D9" s="26" t="s">
        <v>27</v>
      </c>
      <c r="E9" s="27">
        <v>46274</v>
      </c>
      <c r="F9" s="26" t="s">
        <v>15</v>
      </c>
      <c r="G9" s="26" t="s">
        <v>52</v>
      </c>
      <c r="H9" s="26" t="s">
        <v>116</v>
      </c>
      <c r="I9" s="26" t="s">
        <v>15</v>
      </c>
    </row>
    <row r="10" spans="1:9" ht="12.75" customHeight="1">
      <c r="A10" s="26" t="s">
        <v>25</v>
      </c>
      <c r="B10" s="26" t="s">
        <v>53</v>
      </c>
      <c r="C10" s="26" t="s">
        <v>54</v>
      </c>
      <c r="D10" s="26" t="s">
        <v>27</v>
      </c>
      <c r="E10" s="27">
        <v>46274</v>
      </c>
      <c r="F10" s="26" t="s">
        <v>15</v>
      </c>
      <c r="G10" s="26" t="s">
        <v>55</v>
      </c>
      <c r="H10" s="26" t="s">
        <v>116</v>
      </c>
      <c r="I10" s="26" t="s">
        <v>15</v>
      </c>
    </row>
    <row r="11" spans="1:9" ht="12.75" customHeight="1">
      <c r="A11" s="26" t="s">
        <v>25</v>
      </c>
      <c r="B11" s="26" t="s">
        <v>28</v>
      </c>
      <c r="C11" s="26" t="s">
        <v>56</v>
      </c>
      <c r="D11" s="26" t="s">
        <v>29</v>
      </c>
      <c r="E11" s="27">
        <v>46274</v>
      </c>
      <c r="F11" s="26" t="s">
        <v>15</v>
      </c>
      <c r="G11" s="26" t="s">
        <v>57</v>
      </c>
      <c r="H11" s="26" t="s">
        <v>116</v>
      </c>
      <c r="I11" s="26" t="s">
        <v>15</v>
      </c>
    </row>
    <row r="12" spans="1:9" ht="12.75" customHeight="1">
      <c r="A12" s="26" t="s">
        <v>25</v>
      </c>
      <c r="B12" s="26" t="s">
        <v>16</v>
      </c>
      <c r="C12" s="26" t="s">
        <v>58</v>
      </c>
      <c r="D12" s="26" t="s">
        <v>29</v>
      </c>
      <c r="E12" s="27">
        <v>46274</v>
      </c>
      <c r="F12" s="26" t="s">
        <v>15</v>
      </c>
      <c r="G12" s="26" t="s">
        <v>59</v>
      </c>
      <c r="H12" s="26" t="s">
        <v>116</v>
      </c>
      <c r="I12" s="26" t="s">
        <v>15</v>
      </c>
    </row>
    <row r="13" spans="1:9" ht="12.75" customHeight="1">
      <c r="A13" s="26" t="s">
        <v>30</v>
      </c>
      <c r="B13" s="26" t="s">
        <v>31</v>
      </c>
      <c r="C13" s="26" t="s">
        <v>60</v>
      </c>
      <c r="D13" s="26" t="s">
        <v>32</v>
      </c>
      <c r="E13" s="27">
        <v>46274</v>
      </c>
      <c r="F13" s="26" t="s">
        <v>15</v>
      </c>
      <c r="G13" s="26" t="s">
        <v>61</v>
      </c>
      <c r="H13" s="26" t="s">
        <v>116</v>
      </c>
      <c r="I13" s="26" t="s">
        <v>15</v>
      </c>
    </row>
    <row r="14" spans="1:9" ht="12.75" customHeight="1">
      <c r="A14" s="26" t="s">
        <v>30</v>
      </c>
      <c r="B14" s="26" t="s">
        <v>62</v>
      </c>
      <c r="C14" s="26" t="s">
        <v>63</v>
      </c>
      <c r="D14" s="26" t="s">
        <v>32</v>
      </c>
      <c r="E14" s="27">
        <v>46274</v>
      </c>
      <c r="F14" s="26" t="s">
        <v>15</v>
      </c>
      <c r="G14" s="26" t="s">
        <v>64</v>
      </c>
      <c r="H14" s="26" t="s">
        <v>116</v>
      </c>
      <c r="I14" s="26" t="s">
        <v>15</v>
      </c>
    </row>
    <row r="15" spans="1:9" ht="12.75" customHeight="1">
      <c r="A15" s="26" t="s">
        <v>30</v>
      </c>
      <c r="B15" s="26" t="s">
        <v>33</v>
      </c>
      <c r="C15" s="26" t="s">
        <v>65</v>
      </c>
      <c r="D15" s="26" t="s">
        <v>34</v>
      </c>
      <c r="E15" s="27">
        <v>46275</v>
      </c>
      <c r="F15" s="26" t="s">
        <v>15</v>
      </c>
      <c r="G15" s="26" t="s">
        <v>117</v>
      </c>
      <c r="H15" s="26" t="s">
        <v>116</v>
      </c>
      <c r="I15" s="26" t="s">
        <v>15</v>
      </c>
    </row>
    <row r="16" spans="1:9" ht="12.75" customHeight="1">
      <c r="A16" s="26" t="s">
        <v>35</v>
      </c>
      <c r="B16" s="26" t="s">
        <v>36</v>
      </c>
      <c r="C16" s="26" t="s">
        <v>37</v>
      </c>
      <c r="D16" s="26" t="s">
        <v>32</v>
      </c>
      <c r="E16" s="27">
        <v>46275</v>
      </c>
      <c r="F16" s="26" t="s">
        <v>15</v>
      </c>
      <c r="G16" s="26" t="s">
        <v>38</v>
      </c>
      <c r="H16" s="26" t="s">
        <v>116</v>
      </c>
      <c r="I16" s="26" t="s">
        <v>15</v>
      </c>
    </row>
    <row r="17" spans="1:9" ht="12.75" customHeight="1">
      <c r="A17" s="26" t="s">
        <v>35</v>
      </c>
      <c r="B17" s="26" t="s">
        <v>66</v>
      </c>
      <c r="C17" s="26" t="s">
        <v>67</v>
      </c>
      <c r="D17" s="26" t="s">
        <v>27</v>
      </c>
      <c r="E17" s="27">
        <v>46275</v>
      </c>
      <c r="F17" s="26" t="s">
        <v>15</v>
      </c>
      <c r="G17" s="26" t="s">
        <v>68</v>
      </c>
      <c r="H17" s="26" t="s">
        <v>116</v>
      </c>
      <c r="I17" s="26" t="s">
        <v>15</v>
      </c>
    </row>
    <row r="18" spans="1:9" ht="12.75" customHeight="1">
      <c r="A18" s="26" t="s">
        <v>35</v>
      </c>
      <c r="B18" s="26" t="s">
        <v>69</v>
      </c>
      <c r="C18" s="26" t="s">
        <v>70</v>
      </c>
      <c r="D18" s="26" t="s">
        <v>27</v>
      </c>
      <c r="E18" s="27">
        <v>46275</v>
      </c>
      <c r="F18" s="26" t="s">
        <v>15</v>
      </c>
      <c r="G18" s="26" t="s">
        <v>71</v>
      </c>
      <c r="H18" s="26" t="s">
        <v>116</v>
      </c>
      <c r="I18" s="26" t="s">
        <v>15</v>
      </c>
    </row>
    <row r="19" spans="1:9" ht="12.75" customHeight="1">
      <c r="A19" s="26" t="s">
        <v>39</v>
      </c>
      <c r="B19" s="26" t="s">
        <v>72</v>
      </c>
      <c r="C19" s="26" t="s">
        <v>73</v>
      </c>
      <c r="D19" s="26" t="s">
        <v>34</v>
      </c>
      <c r="E19" s="27">
        <v>46275</v>
      </c>
      <c r="F19" s="26" t="s">
        <v>15</v>
      </c>
      <c r="G19" s="26" t="s">
        <v>74</v>
      </c>
      <c r="H19" s="26" t="s">
        <v>116</v>
      </c>
      <c r="I19" s="26" t="s">
        <v>15</v>
      </c>
    </row>
    <row r="20" spans="1:9" ht="12.75" customHeight="1">
      <c r="A20" s="26" t="s">
        <v>39</v>
      </c>
      <c r="B20" s="26" t="s">
        <v>75</v>
      </c>
      <c r="C20" s="26" t="s">
        <v>76</v>
      </c>
      <c r="D20" s="26" t="s">
        <v>34</v>
      </c>
      <c r="E20" s="27">
        <v>46276</v>
      </c>
      <c r="F20" s="26" t="s">
        <v>15</v>
      </c>
      <c r="G20" s="26" t="s">
        <v>77</v>
      </c>
      <c r="H20" s="26" t="s">
        <v>116</v>
      </c>
      <c r="I20" s="26" t="s">
        <v>15</v>
      </c>
    </row>
    <row r="21" spans="1:9" ht="12.75" customHeight="1">
      <c r="A21" s="26" t="s">
        <v>39</v>
      </c>
      <c r="B21" s="26" t="s">
        <v>78</v>
      </c>
      <c r="C21" s="26" t="s">
        <v>79</v>
      </c>
      <c r="D21" s="26" t="s">
        <v>32</v>
      </c>
      <c r="E21" s="27">
        <v>46276</v>
      </c>
      <c r="F21" s="26" t="s">
        <v>15</v>
      </c>
      <c r="G21" s="26" t="s">
        <v>80</v>
      </c>
      <c r="H21" s="26" t="s">
        <v>116</v>
      </c>
      <c r="I21" s="26" t="s">
        <v>15</v>
      </c>
    </row>
    <row r="22" spans="1:9" ht="12.75" customHeight="1">
      <c r="A22" s="26" t="s">
        <v>40</v>
      </c>
      <c r="B22" s="26" t="s">
        <v>81</v>
      </c>
      <c r="C22" s="26" t="s">
        <v>82</v>
      </c>
      <c r="D22" s="26" t="s">
        <v>32</v>
      </c>
      <c r="E22" s="27">
        <v>46276</v>
      </c>
      <c r="F22" s="26" t="s">
        <v>15</v>
      </c>
      <c r="G22" s="26" t="s">
        <v>83</v>
      </c>
      <c r="H22" s="26" t="s">
        <v>116</v>
      </c>
      <c r="I22" s="26" t="s">
        <v>15</v>
      </c>
    </row>
    <row r="23" spans="1:9" ht="12.75" customHeight="1">
      <c r="A23" s="26" t="s">
        <v>40</v>
      </c>
      <c r="B23" s="26" t="s">
        <v>41</v>
      </c>
      <c r="C23" s="26" t="s">
        <v>84</v>
      </c>
      <c r="D23" s="26" t="s">
        <v>32</v>
      </c>
      <c r="E23" s="27">
        <v>46276</v>
      </c>
      <c r="F23" s="26" t="s">
        <v>15</v>
      </c>
      <c r="G23" s="26" t="s">
        <v>85</v>
      </c>
      <c r="H23" s="26" t="s">
        <v>116</v>
      </c>
      <c r="I23" s="26" t="s">
        <v>15</v>
      </c>
    </row>
    <row r="24" spans="1:9" ht="12.75" customHeight="1">
      <c r="A24" s="26" t="s">
        <v>40</v>
      </c>
      <c r="B24" s="26" t="s">
        <v>86</v>
      </c>
      <c r="C24" s="26" t="s">
        <v>87</v>
      </c>
      <c r="D24" s="26" t="s">
        <v>27</v>
      </c>
      <c r="E24" s="27">
        <v>46276</v>
      </c>
      <c r="F24" s="26" t="s">
        <v>15</v>
      </c>
      <c r="G24" s="26" t="s">
        <v>88</v>
      </c>
      <c r="H24" s="26" t="s">
        <v>116</v>
      </c>
      <c r="I24" s="26" t="s">
        <v>15</v>
      </c>
    </row>
    <row r="25" spans="1:9" ht="12.75" customHeight="1">
      <c r="A25" s="26" t="s">
        <v>42</v>
      </c>
      <c r="B25" s="26" t="s">
        <v>43</v>
      </c>
      <c r="C25" s="26" t="s">
        <v>89</v>
      </c>
      <c r="D25" s="26" t="s">
        <v>34</v>
      </c>
      <c r="E25" s="27">
        <v>46277</v>
      </c>
      <c r="F25" s="26" t="s">
        <v>15</v>
      </c>
      <c r="G25" s="26" t="s">
        <v>90</v>
      </c>
      <c r="H25" s="26" t="s">
        <v>116</v>
      </c>
      <c r="I25" s="26" t="s">
        <v>15</v>
      </c>
    </row>
    <row r="26" spans="1:9" ht="12.75" customHeight="1">
      <c r="A26" s="26" t="s">
        <v>42</v>
      </c>
      <c r="B26" s="26" t="s">
        <v>44</v>
      </c>
      <c r="C26" s="26" t="s">
        <v>91</v>
      </c>
      <c r="D26" s="26" t="s">
        <v>32</v>
      </c>
      <c r="E26" s="27">
        <v>46277</v>
      </c>
      <c r="F26" s="26" t="s">
        <v>15</v>
      </c>
      <c r="G26" s="26" t="s">
        <v>92</v>
      </c>
      <c r="H26" s="26" t="s">
        <v>116</v>
      </c>
      <c r="I26" s="26" t="s">
        <v>15</v>
      </c>
    </row>
    <row r="27" spans="1:9" ht="12.75" customHeight="1">
      <c r="A27" s="26" t="s">
        <v>42</v>
      </c>
      <c r="B27" s="26" t="s">
        <v>93</v>
      </c>
      <c r="C27" s="26" t="s">
        <v>94</v>
      </c>
      <c r="D27" s="26" t="s">
        <v>32</v>
      </c>
      <c r="E27" s="27">
        <v>46277</v>
      </c>
      <c r="F27" s="26" t="s">
        <v>15</v>
      </c>
      <c r="G27" s="26" t="s">
        <v>95</v>
      </c>
      <c r="H27" s="26" t="s">
        <v>116</v>
      </c>
      <c r="I27" s="26" t="s">
        <v>15</v>
      </c>
    </row>
    <row r="28" spans="1:9" ht="12.75" customHeight="1">
      <c r="A28" s="26" t="s">
        <v>45</v>
      </c>
      <c r="B28" s="26" t="s">
        <v>46</v>
      </c>
      <c r="C28" s="26" t="s">
        <v>96</v>
      </c>
      <c r="D28" s="26" t="s">
        <v>32</v>
      </c>
      <c r="E28" s="27">
        <v>46277</v>
      </c>
      <c r="F28" s="26" t="s">
        <v>15</v>
      </c>
      <c r="G28" s="26" t="s">
        <v>97</v>
      </c>
      <c r="H28" s="26" t="s">
        <v>116</v>
      </c>
      <c r="I28" s="26" t="s">
        <v>15</v>
      </c>
    </row>
    <row r="29" spans="1:9" ht="12.75" customHeight="1">
      <c r="A29" s="26" t="s">
        <v>45</v>
      </c>
      <c r="B29" s="26" t="s">
        <v>47</v>
      </c>
      <c r="C29" s="26" t="s">
        <v>98</v>
      </c>
      <c r="D29" s="26" t="s">
        <v>32</v>
      </c>
      <c r="E29" s="27">
        <v>46277</v>
      </c>
      <c r="F29" s="26" t="s">
        <v>15</v>
      </c>
      <c r="G29" s="26" t="s">
        <v>99</v>
      </c>
      <c r="H29" s="26" t="s">
        <v>116</v>
      </c>
      <c r="I29" s="26" t="s">
        <v>15</v>
      </c>
    </row>
    <row r="30" spans="1:9" ht="12.75" customHeight="1">
      <c r="A30" s="26" t="s">
        <v>45</v>
      </c>
      <c r="B30" s="26" t="s">
        <v>100</v>
      </c>
      <c r="C30" s="26" t="s">
        <v>101</v>
      </c>
      <c r="D30" s="26" t="s">
        <v>32</v>
      </c>
      <c r="E30" s="27">
        <v>46278</v>
      </c>
      <c r="F30" s="26" t="s">
        <v>15</v>
      </c>
      <c r="G30" s="26" t="s">
        <v>102</v>
      </c>
      <c r="H30" s="26" t="s">
        <v>116</v>
      </c>
      <c r="I30" s="26" t="s">
        <v>15</v>
      </c>
    </row>
    <row r="31" spans="1:9" ht="12.75" customHeight="1">
      <c r="A31" s="26" t="s">
        <v>48</v>
      </c>
      <c r="B31" s="26" t="s">
        <v>49</v>
      </c>
      <c r="C31" s="26" t="s">
        <v>103</v>
      </c>
      <c r="D31" s="26" t="s">
        <v>34</v>
      </c>
      <c r="E31" s="27">
        <v>46278</v>
      </c>
      <c r="F31" s="26" t="s">
        <v>15</v>
      </c>
      <c r="G31" s="26" t="s">
        <v>104</v>
      </c>
      <c r="H31" s="26" t="s">
        <v>116</v>
      </c>
      <c r="I31" s="26" t="s">
        <v>15</v>
      </c>
    </row>
    <row r="32" spans="1:9" ht="12.75" customHeight="1">
      <c r="A32" s="26" t="s">
        <v>48</v>
      </c>
      <c r="B32" s="26" t="s">
        <v>105</v>
      </c>
      <c r="C32" s="26" t="s">
        <v>106</v>
      </c>
      <c r="D32" s="26" t="s">
        <v>32</v>
      </c>
      <c r="E32" s="27">
        <v>46278</v>
      </c>
      <c r="F32" s="26" t="s">
        <v>15</v>
      </c>
      <c r="G32" s="26" t="s">
        <v>107</v>
      </c>
      <c r="H32" s="26" t="s">
        <v>116</v>
      </c>
      <c r="I32" s="26" t="s">
        <v>15</v>
      </c>
    </row>
    <row r="33" spans="1:9" ht="12.75" customHeight="1">
      <c r="A33" s="26" t="s">
        <v>48</v>
      </c>
      <c r="B33" s="26" t="s">
        <v>108</v>
      </c>
      <c r="C33" s="26" t="s">
        <v>109</v>
      </c>
      <c r="D33" s="26" t="s">
        <v>34</v>
      </c>
      <c r="E33" s="27">
        <v>46278</v>
      </c>
      <c r="F33" s="26" t="s">
        <v>15</v>
      </c>
      <c r="G33" s="26" t="s">
        <v>110</v>
      </c>
      <c r="H33" s="26" t="s">
        <v>116</v>
      </c>
      <c r="I33" s="26" t="s">
        <v>15</v>
      </c>
    </row>
    <row r="34" spans="1:9" ht="12.75" customHeight="1">
      <c r="A34" s="26" t="s">
        <v>50</v>
      </c>
      <c r="B34" s="26" t="s">
        <v>111</v>
      </c>
      <c r="C34" s="26" t="s">
        <v>112</v>
      </c>
      <c r="D34" s="26" t="s">
        <v>32</v>
      </c>
      <c r="E34" s="27">
        <v>46279</v>
      </c>
      <c r="F34" s="26" t="s">
        <v>15</v>
      </c>
      <c r="G34" s="26" t="s">
        <v>113</v>
      </c>
      <c r="H34" s="26" t="s">
        <v>116</v>
      </c>
      <c r="I34" s="26" t="s">
        <v>15</v>
      </c>
    </row>
    <row r="35" spans="1:9" ht="12.75" customHeight="1">
      <c r="A35" s="26" t="s">
        <v>50</v>
      </c>
      <c r="B35" s="26" t="s">
        <v>118</v>
      </c>
      <c r="C35" s="26" t="s">
        <v>119</v>
      </c>
      <c r="D35" s="26" t="s">
        <v>34</v>
      </c>
      <c r="E35" s="27">
        <v>46279</v>
      </c>
      <c r="F35" s="26" t="s">
        <v>15</v>
      </c>
      <c r="G35" s="26" t="s">
        <v>120</v>
      </c>
      <c r="H35" s="26" t="s">
        <v>116</v>
      </c>
      <c r="I35" s="26" t="s">
        <v>15</v>
      </c>
    </row>
    <row r="36" spans="1:9" ht="12.75" customHeight="1">
      <c r="A36" s="26" t="s">
        <v>50</v>
      </c>
      <c r="B36" s="26" t="s">
        <v>121</v>
      </c>
      <c r="C36" s="26" t="s">
        <v>122</v>
      </c>
      <c r="D36" s="26" t="s">
        <v>32</v>
      </c>
      <c r="E36" s="27">
        <v>46279</v>
      </c>
      <c r="F36" s="26" t="s">
        <v>15</v>
      </c>
      <c r="G36" s="26" t="s">
        <v>123</v>
      </c>
      <c r="H36" s="26" t="s">
        <v>116</v>
      </c>
      <c r="I36" s="26" t="s">
        <v>15</v>
      </c>
    </row>
    <row r="37" spans="1:9" ht="12.75" customHeight="1">
      <c r="A37" s="26" t="s">
        <v>50</v>
      </c>
      <c r="B37" s="26" t="s">
        <v>124</v>
      </c>
      <c r="C37" s="26" t="s">
        <v>125</v>
      </c>
      <c r="D37" s="26" t="s">
        <v>51</v>
      </c>
      <c r="E37" s="27">
        <v>46280</v>
      </c>
      <c r="F37" s="26" t="s">
        <v>15</v>
      </c>
      <c r="G37" s="26" t="s">
        <v>126</v>
      </c>
      <c r="H37" s="26" t="s">
        <v>127</v>
      </c>
      <c r="I37" s="26" t="s">
        <v>15</v>
      </c>
    </row>
    <row r="38" spans="1:9" ht="12.75" customHeight="1">
      <c r="A38" s="26" t="s">
        <v>50</v>
      </c>
      <c r="B38" s="26" t="s">
        <v>128</v>
      </c>
      <c r="C38" s="26" t="s">
        <v>129</v>
      </c>
      <c r="D38" s="26" t="s">
        <v>27</v>
      </c>
      <c r="E38" s="27">
        <v>46280</v>
      </c>
      <c r="F38" s="26" t="s">
        <v>15</v>
      </c>
      <c r="G38" s="26" t="s">
        <v>130</v>
      </c>
      <c r="H38" s="26" t="s">
        <v>116</v>
      </c>
      <c r="I38" s="26" t="s">
        <v>15</v>
      </c>
    </row>
    <row r="39" spans="1:9" ht="12.75" customHeight="1">
      <c r="A39" s="26" t="s">
        <v>50</v>
      </c>
      <c r="B39" s="26" t="s">
        <v>131</v>
      </c>
      <c r="C39" s="26" t="s">
        <v>132</v>
      </c>
      <c r="D39" s="26" t="s">
        <v>32</v>
      </c>
      <c r="E39" s="27">
        <v>46280</v>
      </c>
      <c r="F39" s="26" t="s">
        <v>15</v>
      </c>
      <c r="G39" s="26" t="s">
        <v>133</v>
      </c>
      <c r="H39" s="26" t="s">
        <v>116</v>
      </c>
      <c r="I39" s="26" t="s">
        <v>15</v>
      </c>
    </row>
    <row r="40" spans="1:9" ht="12.75" customHeight="1">
      <c r="A40" s="26" t="s">
        <v>134</v>
      </c>
      <c r="B40" s="26" t="s">
        <v>135</v>
      </c>
      <c r="C40" s="26" t="s">
        <v>136</v>
      </c>
      <c r="D40" s="26" t="s">
        <v>32</v>
      </c>
      <c r="E40" s="27">
        <v>46281</v>
      </c>
      <c r="F40" s="26" t="s">
        <v>15</v>
      </c>
      <c r="G40" s="26" t="s">
        <v>137</v>
      </c>
      <c r="H40" s="26" t="s">
        <v>116</v>
      </c>
      <c r="I40" s="26" t="s">
        <v>15</v>
      </c>
    </row>
    <row r="41" spans="1:9" ht="12.75" customHeight="1">
      <c r="A41" s="26" t="s">
        <v>134</v>
      </c>
      <c r="B41" s="26" t="s">
        <v>138</v>
      </c>
      <c r="C41" s="26" t="s">
        <v>139</v>
      </c>
      <c r="D41" s="26" t="s">
        <v>32</v>
      </c>
      <c r="E41" s="27">
        <v>46281</v>
      </c>
      <c r="F41" s="26" t="s">
        <v>15</v>
      </c>
      <c r="G41" s="26" t="s">
        <v>140</v>
      </c>
      <c r="H41" s="26" t="s">
        <v>116</v>
      </c>
      <c r="I41" s="26" t="s">
        <v>15</v>
      </c>
    </row>
    <row r="42" spans="1:9" ht="12.75" customHeight="1">
      <c r="A42" s="26" t="s">
        <v>134</v>
      </c>
      <c r="B42" s="26" t="s">
        <v>141</v>
      </c>
      <c r="C42" s="26" t="s">
        <v>142</v>
      </c>
      <c r="D42" s="26" t="s">
        <v>51</v>
      </c>
      <c r="E42" s="27">
        <v>46281</v>
      </c>
      <c r="F42" s="26" t="s">
        <v>15</v>
      </c>
      <c r="G42" s="26" t="s">
        <v>143</v>
      </c>
      <c r="H42" s="26" t="s">
        <v>144</v>
      </c>
      <c r="I42" s="26" t="s">
        <v>15</v>
      </c>
    </row>
    <row r="43" spans="1:9" ht="12.75" customHeight="1">
      <c r="A43" s="26" t="s">
        <v>145</v>
      </c>
      <c r="B43" s="26" t="s">
        <v>146</v>
      </c>
      <c r="C43" s="26" t="s">
        <v>147</v>
      </c>
      <c r="D43" s="26" t="s">
        <v>27</v>
      </c>
      <c r="E43" s="27">
        <v>46282</v>
      </c>
      <c r="F43" s="26" t="s">
        <v>15</v>
      </c>
      <c r="G43" s="26" t="s">
        <v>148</v>
      </c>
      <c r="H43" s="26" t="s">
        <v>116</v>
      </c>
      <c r="I43" s="26" t="s">
        <v>15</v>
      </c>
    </row>
    <row r="44" spans="1:9" ht="12.75" customHeight="1">
      <c r="A44" s="26" t="s">
        <v>145</v>
      </c>
      <c r="B44" s="26" t="s">
        <v>149</v>
      </c>
      <c r="C44" s="26" t="s">
        <v>150</v>
      </c>
      <c r="D44" s="26" t="s">
        <v>27</v>
      </c>
      <c r="E44" s="27">
        <v>46282</v>
      </c>
      <c r="F44" s="26" t="s">
        <v>15</v>
      </c>
      <c r="G44" s="26" t="s">
        <v>151</v>
      </c>
      <c r="H44" s="26" t="s">
        <v>116</v>
      </c>
      <c r="I44" s="26" t="s">
        <v>15</v>
      </c>
    </row>
    <row r="45" spans="1:9" ht="12.75" customHeight="1">
      <c r="A45" s="26" t="s">
        <v>145</v>
      </c>
      <c r="B45" s="26" t="s">
        <v>152</v>
      </c>
      <c r="C45" s="26" t="s">
        <v>153</v>
      </c>
      <c r="D45" s="26" t="s">
        <v>27</v>
      </c>
      <c r="E45" s="27">
        <v>46282</v>
      </c>
      <c r="F45" s="26" t="s">
        <v>15</v>
      </c>
      <c r="G45" s="26" t="s">
        <v>154</v>
      </c>
      <c r="H45" s="26" t="s">
        <v>116</v>
      </c>
      <c r="I45" s="26" t="s">
        <v>15</v>
      </c>
    </row>
    <row r="46" spans="1:9" ht="12.75" customHeight="1">
      <c r="A46" s="26" t="s">
        <v>155</v>
      </c>
      <c r="B46" s="26" t="s">
        <v>156</v>
      </c>
      <c r="C46" s="26" t="s">
        <v>157</v>
      </c>
      <c r="D46" s="26" t="s">
        <v>32</v>
      </c>
      <c r="E46" s="27">
        <v>46282</v>
      </c>
      <c r="F46" s="26" t="s">
        <v>15</v>
      </c>
      <c r="G46" s="26" t="s">
        <v>158</v>
      </c>
      <c r="H46" s="26" t="s">
        <v>116</v>
      </c>
      <c r="I46" s="26" t="s">
        <v>15</v>
      </c>
    </row>
    <row r="47" spans="1:9" ht="12.75" customHeight="1">
      <c r="A47" s="26" t="s">
        <v>155</v>
      </c>
      <c r="B47" s="26" t="s">
        <v>159</v>
      </c>
      <c r="C47" s="26" t="s">
        <v>160</v>
      </c>
      <c r="D47" s="26" t="s">
        <v>32</v>
      </c>
      <c r="E47" s="27">
        <v>46283</v>
      </c>
      <c r="F47" s="26" t="s">
        <v>15</v>
      </c>
      <c r="G47" s="26" t="s">
        <v>161</v>
      </c>
      <c r="H47" s="26" t="s">
        <v>116</v>
      </c>
      <c r="I47" s="26" t="s">
        <v>15</v>
      </c>
    </row>
    <row r="48" spans="1:9" ht="12.75" customHeight="1">
      <c r="A48" s="26" t="s">
        <v>155</v>
      </c>
      <c r="B48" s="26" t="s">
        <v>162</v>
      </c>
      <c r="C48" s="26" t="s">
        <v>163</v>
      </c>
      <c r="D48" s="26" t="s">
        <v>32</v>
      </c>
      <c r="E48" s="27">
        <v>46283</v>
      </c>
      <c r="F48" s="26" t="s">
        <v>15</v>
      </c>
      <c r="G48" s="26" t="s">
        <v>164</v>
      </c>
      <c r="H48" s="26" t="s">
        <v>116</v>
      </c>
      <c r="I48" s="26" t="s">
        <v>15</v>
      </c>
    </row>
    <row r="49" spans="1:9" ht="12.75" customHeight="1">
      <c r="A49" s="26" t="s">
        <v>165</v>
      </c>
      <c r="B49" s="26" t="s">
        <v>166</v>
      </c>
      <c r="C49" s="26" t="s">
        <v>167</v>
      </c>
      <c r="D49" s="26" t="s">
        <v>32</v>
      </c>
      <c r="E49" s="27">
        <v>46283</v>
      </c>
      <c r="F49" s="26" t="s">
        <v>15</v>
      </c>
      <c r="G49" s="26" t="s">
        <v>168</v>
      </c>
      <c r="H49" s="26" t="s">
        <v>116</v>
      </c>
      <c r="I49" s="26" t="s">
        <v>15</v>
      </c>
    </row>
    <row r="50" spans="1:9" ht="12.75" customHeight="1">
      <c r="A50" s="26" t="s">
        <v>165</v>
      </c>
      <c r="B50" s="26" t="s">
        <v>169</v>
      </c>
      <c r="C50" s="26" t="s">
        <v>170</v>
      </c>
      <c r="D50" s="26" t="s">
        <v>32</v>
      </c>
      <c r="E50" s="27">
        <v>46283</v>
      </c>
      <c r="F50" s="26" t="s">
        <v>15</v>
      </c>
      <c r="G50" s="26" t="s">
        <v>171</v>
      </c>
      <c r="H50" s="26" t="s">
        <v>116</v>
      </c>
      <c r="I50" s="26" t="s">
        <v>15</v>
      </c>
    </row>
    <row r="51" spans="1:9" ht="12.75" customHeight="1">
      <c r="A51" s="26" t="s">
        <v>172</v>
      </c>
      <c r="B51" s="26" t="s">
        <v>173</v>
      </c>
      <c r="C51" s="26" t="s">
        <v>174</v>
      </c>
      <c r="D51" s="26" t="s">
        <v>27</v>
      </c>
      <c r="E51" s="27">
        <v>46284</v>
      </c>
      <c r="F51" s="26" t="s">
        <v>15</v>
      </c>
      <c r="G51" s="26" t="s">
        <v>175</v>
      </c>
      <c r="H51" s="26" t="s">
        <v>116</v>
      </c>
      <c r="I51" s="26" t="s">
        <v>15</v>
      </c>
    </row>
    <row r="52" spans="1:9" ht="12.75" customHeight="1">
      <c r="A52" s="26" t="s">
        <v>172</v>
      </c>
      <c r="B52" s="26" t="s">
        <v>176</v>
      </c>
      <c r="C52" s="26" t="s">
        <v>177</v>
      </c>
      <c r="D52" s="26" t="s">
        <v>27</v>
      </c>
      <c r="E52" s="27">
        <v>46284</v>
      </c>
      <c r="F52" s="26" t="s">
        <v>15</v>
      </c>
      <c r="G52" s="26" t="s">
        <v>178</v>
      </c>
      <c r="H52" s="26" t="s">
        <v>116</v>
      </c>
      <c r="I52" s="26" t="s">
        <v>15</v>
      </c>
    </row>
    <row r="53" spans="1:9" ht="12.75" customHeight="1">
      <c r="A53" s="26" t="s">
        <v>179</v>
      </c>
      <c r="B53" s="26" t="s">
        <v>180</v>
      </c>
      <c r="C53" s="26" t="s">
        <v>181</v>
      </c>
      <c r="D53" s="26" t="s">
        <v>34</v>
      </c>
      <c r="E53" s="27">
        <v>46284</v>
      </c>
      <c r="F53" s="26" t="s">
        <v>15</v>
      </c>
      <c r="G53" s="26" t="s">
        <v>182</v>
      </c>
      <c r="H53" s="26" t="s">
        <v>116</v>
      </c>
      <c r="I53" s="26" t="s">
        <v>15</v>
      </c>
    </row>
    <row r="54" spans="1:9" ht="12.75" customHeight="1">
      <c r="A54" s="26" t="s">
        <v>179</v>
      </c>
      <c r="B54" s="26" t="s">
        <v>183</v>
      </c>
      <c r="C54" s="26" t="s">
        <v>184</v>
      </c>
      <c r="D54" s="26" t="s">
        <v>32</v>
      </c>
      <c r="E54" s="27">
        <v>46284</v>
      </c>
      <c r="F54" s="26" t="s">
        <v>15</v>
      </c>
      <c r="G54" s="26" t="s">
        <v>92</v>
      </c>
      <c r="H54" s="26" t="s">
        <v>116</v>
      </c>
      <c r="I54" s="26" t="s">
        <v>15</v>
      </c>
    </row>
    <row r="55" spans="1:9" ht="12.75" customHeight="1">
      <c r="A55" s="26" t="s">
        <v>185</v>
      </c>
      <c r="B55" s="26" t="s">
        <v>186</v>
      </c>
      <c r="C55" s="26" t="s">
        <v>187</v>
      </c>
      <c r="D55" s="26" t="s">
        <v>34</v>
      </c>
      <c r="E55" s="27">
        <v>46285</v>
      </c>
      <c r="F55" s="26" t="s">
        <v>15</v>
      </c>
      <c r="G55" s="26" t="s">
        <v>188</v>
      </c>
      <c r="H55" s="26" t="s">
        <v>116</v>
      </c>
      <c r="I55" s="26" t="s">
        <v>15</v>
      </c>
    </row>
    <row r="56" spans="1:9" ht="12.75" customHeight="1">
      <c r="A56" s="26" t="s">
        <v>185</v>
      </c>
      <c r="B56" s="26" t="s">
        <v>189</v>
      </c>
      <c r="C56" s="26" t="s">
        <v>190</v>
      </c>
      <c r="D56" s="26" t="s">
        <v>32</v>
      </c>
      <c r="E56" s="27">
        <v>46285</v>
      </c>
      <c r="F56" s="26" t="s">
        <v>15</v>
      </c>
      <c r="G56" s="26" t="s">
        <v>191</v>
      </c>
      <c r="H56" s="26" t="s">
        <v>116</v>
      </c>
      <c r="I56" s="26" t="s">
        <v>15</v>
      </c>
    </row>
    <row r="57" spans="1:9" ht="12.75" customHeight="1">
      <c r="A57" s="26" t="s">
        <v>192</v>
      </c>
      <c r="B57" s="26" t="s">
        <v>193</v>
      </c>
      <c r="C57" s="26" t="s">
        <v>194</v>
      </c>
      <c r="D57" s="26" t="s">
        <v>34</v>
      </c>
      <c r="E57" s="27">
        <v>46285</v>
      </c>
      <c r="F57" s="26" t="s">
        <v>15</v>
      </c>
      <c r="G57" s="26" t="s">
        <v>195</v>
      </c>
      <c r="H57" s="26" t="s">
        <v>116</v>
      </c>
      <c r="I57" s="26" t="s">
        <v>15</v>
      </c>
    </row>
    <row r="58" spans="1:9" ht="12.75" customHeight="1">
      <c r="A58" s="26" t="s">
        <v>192</v>
      </c>
      <c r="B58" s="26" t="s">
        <v>196</v>
      </c>
      <c r="C58" s="26" t="s">
        <v>197</v>
      </c>
      <c r="D58" s="26" t="s">
        <v>51</v>
      </c>
      <c r="E58" s="27">
        <v>46285</v>
      </c>
      <c r="F58" s="26" t="s">
        <v>15</v>
      </c>
      <c r="G58" s="26" t="s">
        <v>198</v>
      </c>
      <c r="H58" s="26" t="s">
        <v>116</v>
      </c>
      <c r="I58" s="26" t="s">
        <v>15</v>
      </c>
    </row>
    <row r="59" spans="1:9" ht="12.75" customHeight="1">
      <c r="A59" s="26" t="s">
        <v>199</v>
      </c>
      <c r="B59" s="26" t="s">
        <v>200</v>
      </c>
      <c r="C59" s="26" t="s">
        <v>201</v>
      </c>
      <c r="D59" s="26" t="s">
        <v>32</v>
      </c>
      <c r="E59" s="27">
        <v>46285</v>
      </c>
      <c r="F59" s="26" t="s">
        <v>15</v>
      </c>
      <c r="G59" s="26" t="s">
        <v>202</v>
      </c>
      <c r="H59" s="26" t="s">
        <v>116</v>
      </c>
      <c r="I59" s="26" t="s">
        <v>15</v>
      </c>
    </row>
    <row r="60" spans="1:9" ht="12.75" customHeight="1">
      <c r="A60" s="8" t="s">
        <v>17</v>
      </c>
      <c r="B60" s="9"/>
      <c r="C60" s="9"/>
      <c r="D60" s="9"/>
      <c r="E60" s="9"/>
      <c r="F60" s="9"/>
      <c r="G60" s="9"/>
      <c r="H60" s="9"/>
      <c r="I60" s="10"/>
    </row>
    <row r="61" spans="1:9" ht="12.75" customHeight="1">
      <c r="A61" s="13"/>
      <c r="B61" s="14"/>
      <c r="C61" s="14"/>
      <c r="D61" s="14"/>
      <c r="E61" s="14"/>
      <c r="F61" s="14"/>
      <c r="G61" s="14"/>
      <c r="H61" s="14"/>
      <c r="I61" s="14"/>
    </row>
    <row r="62" spans="1:9" ht="12.75" customHeight="1"/>
    <row r="63" spans="1:9" ht="12.75" customHeight="1">
      <c r="A63" s="1" t="s">
        <v>18</v>
      </c>
      <c r="F63" s="1" t="s">
        <v>19</v>
      </c>
    </row>
    <row r="64" spans="1:9" ht="12.75" customHeight="1"/>
    <row r="65" spans="1:8" ht="12.75" customHeight="1">
      <c r="A65" s="15" t="s">
        <v>20</v>
      </c>
      <c r="B65" s="14"/>
      <c r="C65" s="11">
        <v>9</v>
      </c>
    </row>
    <row r="66" spans="1:8" ht="12.75" customHeight="1">
      <c r="A66" s="15" t="s">
        <v>21</v>
      </c>
      <c r="B66" s="14"/>
      <c r="C66" s="12">
        <f>COUNTIF(F9:F58,"SI")</f>
        <v>50</v>
      </c>
      <c r="F66" s="15" t="s">
        <v>22</v>
      </c>
      <c r="G66" s="14"/>
      <c r="H66" s="12">
        <f>COUNTIF(I9:I58,"SI")</f>
        <v>50</v>
      </c>
    </row>
    <row r="67" spans="1:8" ht="12.75" customHeight="1">
      <c r="A67" s="15" t="s">
        <v>23</v>
      </c>
      <c r="B67" s="14"/>
      <c r="C67" s="11">
        <f>COUNTIF(F9:F58,"NO")</f>
        <v>0</v>
      </c>
      <c r="F67" s="15" t="s">
        <v>24</v>
      </c>
      <c r="G67" s="14"/>
      <c r="H67" s="11">
        <f>COUNTIF(I9:I58,"NO")</f>
        <v>0</v>
      </c>
    </row>
    <row r="68" spans="1:8" ht="12.75" customHeight="1"/>
    <row r="69" spans="1:8" ht="12.75" customHeight="1"/>
    <row r="70" spans="1:8" ht="12.75" customHeight="1"/>
    <row r="71" spans="1:8" ht="12.75" customHeight="1"/>
    <row r="72" spans="1:8" ht="12.75" customHeight="1"/>
    <row r="73" spans="1:8" ht="12.75" customHeight="1"/>
    <row r="74" spans="1:8" ht="12.75" customHeight="1"/>
    <row r="75" spans="1:8" ht="12.75" customHeight="1"/>
    <row r="76" spans="1:8" ht="12.75" customHeight="1"/>
    <row r="77" spans="1:8" ht="12.75" customHeight="1"/>
    <row r="78" spans="1:8" ht="12.75" customHeight="1"/>
    <row r="79" spans="1:8" ht="12.75" customHeight="1"/>
    <row r="80" spans="1:8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</sheetData>
  <mergeCells count="12">
    <mergeCell ref="A67:B67"/>
    <mergeCell ref="F67:G67"/>
    <mergeCell ref="A1:I2"/>
    <mergeCell ref="A3:B3"/>
    <mergeCell ref="A4:B4"/>
    <mergeCell ref="A5:B5"/>
    <mergeCell ref="A6:B6"/>
    <mergeCell ref="C3:I3"/>
    <mergeCell ref="A61:I61"/>
    <mergeCell ref="A65:B65"/>
    <mergeCell ref="A66:B66"/>
    <mergeCell ref="F66:G66"/>
  </mergeCells>
  <pageMargins left="0.70866141732283472" right="0.70866141732283472" top="0.94488188976377963" bottom="0.55118110236220474" header="0" footer="0"/>
  <pageSetup scale="90" orientation="landscape" r:id="rId1"/>
  <headerFooter>
    <oddHeader>&amp;C Gerencia Dirección de Operaciones&amp;R Edición Vigente 13/01/2014</oddHeader>
    <oddFooter>&amp;LUso Interno&amp;CGerencia de Sistemas y Tecnología&amp;R&amp;P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Pruebas Req Func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Leiva-PC</dc:creator>
  <cp:lastModifiedBy>Walter Rosales</cp:lastModifiedBy>
  <dcterms:created xsi:type="dcterms:W3CDTF">2018-08-04T00:26:18Z</dcterms:created>
  <dcterms:modified xsi:type="dcterms:W3CDTF">2026-09-14T15:09:45Z</dcterms:modified>
</cp:coreProperties>
</file>